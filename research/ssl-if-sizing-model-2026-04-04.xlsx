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ump Scenarios" sheetId="3" state="visible" r:id="rId5"/>
    <sheet name="IF Sizing" sheetId="4" state="visible" r:id="rId6"/>
    <sheet name="Fee Calibr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<sst xmlns="http://schemas.openxmlformats.org/spreadsheetml/2006/main" count="386" uniqueCount="286">
  <si>
    <t xml:space="preserve">  SATOSHI STOP LOSS — Insurance Fund Sizing</t>
  </si>
  <si>
    <t xml:space="preserve">  Key Findings &amp; Recommendation</t>
  </si>
  <si>
    <t xml:space="preserve">THE CORE QUESTION</t>
  </si>
  <si>
    <t xml:space="preserve">"Would a 1% enrollment fee do it — or do we need 5%?"</t>
  </si>
  <si>
    <t xml:space="preserve">  REQUIRED IF / TVL BY SCENARIO  (Base Case: $1B TVL, 60% BTC in vaults)</t>
  </si>
  <si>
    <t xml:space="preserve">Scenario</t>
  </si>
  <si>
    <t xml:space="preserve">IF / TVL Needed</t>
  </si>
  <si>
    <t xml:space="preserve">IF$ at $1B TVL</t>
  </si>
  <si>
    <t xml:space="preserve">1% Enrollment?</t>
  </si>
  <si>
    <t xml:space="preserve">Key Driver</t>
  </si>
  <si>
    <t xml:space="preserve">Scenario A: Small (1K BTC)</t>
  </si>
  <si>
    <t xml:space="preserve">~1.2%</t>
  </si>
  <si>
    <t xml:space="preserve">~$12M</t>
  </si>
  <si>
    <t xml:space="preserve">✅ YES — barely</t>
  </si>
  <si>
    <t xml:space="preserve">Tier 1 IF absorption loss</t>
  </si>
  <si>
    <t xml:space="preserve">Scenario B: Moderate (10K BTC)</t>
  </si>
  <si>
    <t xml:space="preserve">~4.3%</t>
  </si>
  <si>
    <t xml:space="preserve">~$43M</t>
  </si>
  <si>
    <t xml:space="preserve">⚠️ NO — need 4–5%</t>
  </si>
  <si>
    <t xml:space="preserve">DEX slippage dominates</t>
  </si>
  <si>
    <t xml:space="preserve">Scenario C: Large (100K BTC)</t>
  </si>
  <si>
    <t xml:space="preserve">~8.0%</t>
  </si>
  <si>
    <t xml:space="preserve">~$80M</t>
  </si>
  <si>
    <t xml:space="preserve">🔴 NO — need 8%+</t>
  </si>
  <si>
    <t xml:space="preserve">All 3 tiers stressed</t>
  </si>
  <si>
    <t xml:space="preserve">Scenario D: Catastrophic (500K BTC)</t>
  </si>
  <si>
    <t xml:space="preserve">~11.4%</t>
  </si>
  <si>
    <t xml:space="preserve">~$114M</t>
  </si>
  <si>
    <t xml:space="preserve">🚨 NO — need 11%+</t>
  </si>
  <si>
    <t xml:space="preserve">Reinsurance layer activates</t>
  </si>
  <si>
    <t xml:space="preserve">  THE ANSWER</t>
  </si>
  <si>
    <t xml:space="preserve">  1. 1% enrollment alone</t>
  </si>
  <si>
    <t xml:space="preserve">Covers ONLY a small Satoshi signal (Scenario A). A 1% one-time fee leaves you ~3–4× undercapitalized for a moderate dump event. It's not enough on its own.</t>
  </si>
  <si>
    <t xml:space="preserve">  2. Recommended: 0.50% enrollment + 10 bps/yr ongoing</t>
  </si>
  <si>
    <t xml:space="preserve">Builds IF to ~5% of TVL in ~3 years at $1B TVL (with $5M seed). Covers 80% of realistic scenarios. Stakers earn 3–6% APY from premium inflows.</t>
  </si>
  <si>
    <t xml:space="preserve">  3. For full tail protection (Scenarios C/D)</t>
  </si>
  <si>
    <t xml:space="preserve">Need 8–12% IF/TVL. Achieved via: seed capital + reinsurance layer + governance-set TVL cap in early phases. Not achievable through fees alone — designed as multi-year buildup.</t>
  </si>
  <si>
    <t xml:space="preserve">  4. Protocol design implication</t>
  </si>
  <si>
    <t xml:space="preserve">Launch with TVL cap tied to IF size (e.g., max TVL = IF × 20). Expand cap as IF grows. This is standard practice for DeFi insurance protocols (Nexus Mutual model).</t>
  </si>
  <si>
    <t xml:space="preserve">  MARKET CONTEXT (April 4, 2026 — Live Research)</t>
  </si>
  <si>
    <t xml:space="preserve">  BTC Price</t>
  </si>
  <si>
    <t xml:space="preserve">$67,000</t>
  </si>
  <si>
    <t xml:space="preserve">  Satoshi Holdings (Patoshi High)</t>
  </si>
  <si>
    <t xml:space="preserve">1.1M BTC  ≈  $73.7B  (5.54% of supply)</t>
  </si>
  <si>
    <t xml:space="preserve">  Satoshi Holdings (BitMEX Low Est.)</t>
  </si>
  <si>
    <t xml:space="preserve">700K BTC  ≈  $46.9B  (3.52% of supply)</t>
  </si>
  <si>
    <t xml:space="preserve">  BTC Daily Spot Volume</t>
  </si>
  <si>
    <t xml:space="preserve">~$25B central estimate; range $8B–$36B</t>
  </si>
  <si>
    <t xml:space="preserve">  Order Book Depth ±2% (all CEXes)</t>
  </si>
  <si>
    <t xml:space="preserve">~$100M aggregate — thin vs Satoshi holdings</t>
  </si>
  <si>
    <t xml:space="preserve">  FTX Collapse (closest analogue)</t>
  </si>
  <si>
    <t xml:space="preserve">-17% in 24h, -25% peak over 3 days</t>
  </si>
  <si>
    <t xml:space="preserve">  LUNA Crash</t>
  </si>
  <si>
    <t xml:space="preserve">-22% in 24h, -58% peak over 7 days</t>
  </si>
  <si>
    <t xml:space="preserve">  Nexus Mutual Premium (2025)</t>
  </si>
  <si>
    <t xml:space="preserve">Dropped below 1%/yr for select protocols — validates our fee range</t>
  </si>
  <si>
    <t xml:space="preserve">  Model v1.0  |  April 4, 2026  |  Satoshi Stop Loss Protocol  |  Pre-Seed — Internal Use Only</t>
  </si>
  <si>
    <t xml:space="preserve">  SATOSHI STOP LOSS — IF Sizing Model | Assumptions</t>
  </si>
  <si>
    <t xml:space="preserve">  Blue cells = inputs  |  Black cells = formulas  |  Green = cross-sheet links</t>
  </si>
  <si>
    <t xml:space="preserve">  BTC MARKET DATA  (April 4, 2026)</t>
  </si>
  <si>
    <t xml:space="preserve">Parameter</t>
  </si>
  <si>
    <t xml:space="preserve">Value</t>
  </si>
  <si>
    <t xml:space="preserve">Unit</t>
  </si>
  <si>
    <t xml:space="preserve">Source / Notes</t>
  </si>
  <si>
    <t xml:space="preserve">USD/BTC</t>
  </si>
  <si>
    <t xml:space="preserve">CoinGecko / CoinMarketCap, April 4 2026</t>
  </si>
  <si>
    <t xml:space="preserve">  BTC Circulating Supply</t>
  </si>
  <si>
    <t xml:space="preserve">BTC</t>
  </si>
  <si>
    <t xml:space="preserve">CoinMarketCap, April 2026</t>
  </si>
  <si>
    <t xml:space="preserve">  BTC Market Cap</t>
  </si>
  <si>
    <t xml:space="preserve">$</t>
  </si>
  <si>
    <t xml:space="preserve">Calculated</t>
  </si>
  <si>
    <t xml:space="preserve">  Daily Spot Volume (central)</t>
  </si>
  <si>
    <t xml:space="preserve">Avg of $8B–$36B range; wide spread across CEXes</t>
  </si>
  <si>
    <t xml:space="preserve">  Daily Volume — Bear</t>
  </si>
  <si>
    <t xml:space="preserve">Low-end reported; thin liquidity scenario</t>
  </si>
  <si>
    <t xml:space="preserve">  Daily Volume — Bull</t>
  </si>
  <si>
    <t xml:space="preserve">High-end; deep market scenario</t>
  </si>
  <si>
    <t xml:space="preserve">  Order Book Depth ±2% (agg.)</t>
  </si>
  <si>
    <t xml:space="preserve">CoinGlass / CoinGecko 2025; all major CEXes</t>
  </si>
  <si>
    <t xml:space="preserve">  Order Book Depth ±1% (agg.)</t>
  </si>
  <si>
    <t xml:space="preserve">Est. ~25% of ±2% depth bucket</t>
  </si>
  <si>
    <t xml:space="preserve">  BTC Daily Volatility (norm.)</t>
  </si>
  <si>
    <t xml:space="preserve">%/day</t>
  </si>
  <si>
    <t xml:space="preserve">Historical avg; 3–5% on normal days</t>
  </si>
  <si>
    <t xml:space="preserve">  Panic Volatility Multiplier</t>
  </si>
  <si>
    <t xml:space="preserve">×</t>
  </si>
  <si>
    <t xml:space="preserve">Satoshi event = extreme tail; 3× normal vol</t>
  </si>
  <si>
    <t xml:space="preserve">  SATOSHI NAKAMOTO HOLDINGS</t>
  </si>
  <si>
    <t xml:space="preserve">  Holdings — Patoshi High (BTC)</t>
  </si>
  <si>
    <t xml:space="preserve">Arkham / Sergio Lerner; 22,000 blocks × 50 BTC</t>
  </si>
  <si>
    <t xml:space="preserve">  Holdings — BitMEX Research Low</t>
  </si>
  <si>
    <t xml:space="preserve">BitMEX Research; more conservative estimate</t>
  </si>
  <si>
    <t xml:space="preserve">  Holdings Used in Model</t>
  </si>
  <si>
    <t xml:space="preserve">Patoshi High — worst-case market scenario</t>
  </si>
  <si>
    <t xml:space="preserve">  Value of Satoshi Holdings</t>
  </si>
  <si>
    <t xml:space="preserve">At current BTC price</t>
  </si>
  <si>
    <t xml:space="preserve">  As % of Circulating Supply</t>
  </si>
  <si>
    <t xml:space="preserve">%</t>
  </si>
  <si>
    <t xml:space="preserve">Satoshi / total supply</t>
  </si>
  <si>
    <t xml:space="preserve">  As % of BTC Market Cap</t>
  </si>
  <si>
    <t xml:space="preserve">Satoshi value / market cap</t>
  </si>
  <si>
    <t xml:space="preserve">  PROTOCOL PARAMETERS</t>
  </si>
  <si>
    <t xml:space="preserve">Notes</t>
  </si>
  <si>
    <t xml:space="preserve">  SSL TVL — Bear Case</t>
  </si>
  <si>
    <t xml:space="preserve">$M</t>
  </si>
  <si>
    <t xml:space="preserve">Conservative; early protocol launch</t>
  </si>
  <si>
    <t xml:space="preserve">  SSL TVL — Base Case</t>
  </si>
  <si>
    <t xml:space="preserve">Moderate adoption, 12–24 mo post-launch</t>
  </si>
  <si>
    <t xml:space="preserve">  SSL TVL — Bull Case</t>
  </si>
  <si>
    <t xml:space="preserve">Strong adoption; institutional onboarding</t>
  </si>
  <si>
    <t xml:space="preserve">  % BTC-Denominated Vaults</t>
  </si>
  <si>
    <t xml:space="preserve">BTC likely dominant; governance-adjustable</t>
  </si>
  <si>
    <t xml:space="preserve">  % ETH-Denominated</t>
  </si>
  <si>
    <t xml:space="preserve">Second largest expected</t>
  </si>
  <si>
    <t xml:space="preserve">  % Altcoin / Other</t>
  </si>
  <si>
    <t xml:space="preserve">Must sum to 100%</t>
  </si>
  <si>
    <t xml:space="preserve">  Tier 1 (IF Direct) — BTC share</t>
  </si>
  <si>
    <t xml:space="preserve">IF absorbs first ~15% of BTC positions</t>
  </si>
  <si>
    <t xml:space="preserve">  Tier 2 (DEX Routing) — BTC share</t>
  </si>
  <si>
    <t xml:space="preserve">~65% routed through DEXes</t>
  </si>
  <si>
    <t xml:space="preserve">  Tier 3 (Auctioneer) — BTC share</t>
  </si>
  <si>
    <t xml:space="preserve">Residual ~20% via Dutch auction</t>
  </si>
  <si>
    <t xml:space="preserve">  Oracle Detection Lag</t>
  </si>
  <si>
    <t xml:space="preserve">min</t>
  </si>
  <si>
    <t xml:space="preserve">Time from UTXO in mempool → trigger fire</t>
  </si>
  <si>
    <t xml:space="preserve">  Pre-Trigger Price Decline (est.)</t>
  </si>
  <si>
    <t xml:space="preserve">Algo traders react before oracle fires</t>
  </si>
  <si>
    <t xml:space="preserve">  IF BTC Holding Period</t>
  </si>
  <si>
    <t xml:space="preserve">hrs</t>
  </si>
  <si>
    <t xml:space="preserve">Hours until IF unwinds absorbed BTC</t>
  </si>
  <si>
    <t xml:space="preserve">  HISTORICAL BTC CRASH REFERENCE</t>
  </si>
  <si>
    <t xml:space="preserve">Event</t>
  </si>
  <si>
    <t xml:space="preserve">Date</t>
  </si>
  <si>
    <t xml:space="preserve">Trigger</t>
  </si>
  <si>
    <t xml:space="preserve">24h Drop</t>
  </si>
  <si>
    <t xml:space="preserve">Peak Drop</t>
  </si>
  <si>
    <t xml:space="preserve">Days to Peak</t>
  </si>
  <si>
    <t xml:space="preserve">Normal Daily Volatility</t>
  </si>
  <si>
    <t xml:space="preserve">—</t>
  </si>
  <si>
    <t xml:space="preserve">Baseline</t>
  </si>
  <si>
    <t xml:space="preserve">Regulatory FUD (China ban)</t>
  </si>
  <si>
    <t xml:space="preserve">Sep-21</t>
  </si>
  <si>
    <t xml:space="preserve">Regulatory shock</t>
  </si>
  <si>
    <t xml:space="preserve">FTX Collapse</t>
  </si>
  <si>
    <t xml:space="preserve">Nov-22</t>
  </si>
  <si>
    <t xml:space="preserve">Exchange failure</t>
  </si>
  <si>
    <t xml:space="preserve">COVID Crash</t>
  </si>
  <si>
    <t xml:space="preserve">Mar-20</t>
  </si>
  <si>
    <t xml:space="preserve">Global risk-off</t>
  </si>
  <si>
    <t xml:space="preserve">LUNA / Terra</t>
  </si>
  <si>
    <t xml:space="preserve">May-22</t>
  </si>
  <si>
    <t xml:space="preserve">Stablecoin depeg</t>
  </si>
  <si>
    <t xml:space="preserve">Satoshi Small (model est.)</t>
  </si>
  <si>
    <t xml:space="preserve">Model</t>
  </si>
  <si>
    <t xml:space="preserve">1K–10K BTC moved</t>
  </si>
  <si>
    <t xml:space="preserve">Satoshi Moderate (est.)</t>
  </si>
  <si>
    <t xml:space="preserve">10K–100K BTC moved</t>
  </si>
  <si>
    <t xml:space="preserve">Satoshi Large (est.)</t>
  </si>
  <si>
    <t xml:space="preserve">100K–500K BTC moved</t>
  </si>
  <si>
    <t xml:space="preserve">  SATOSHI DUMP SCENARIOS — Price Impact Model</t>
  </si>
  <si>
    <t xml:space="preserve">  Models 4 scenarios from small Satoshi signal to catastrophic dump</t>
  </si>
  <si>
    <t xml:space="preserve">Metric</t>
  </si>
  <si>
    <t xml:space="preserve">Scenario A
Small (1K BTC)</t>
  </si>
  <si>
    <t xml:space="preserve">Scenario B
Moderate (10K)</t>
  </si>
  <si>
    <t xml:space="preserve">Scenario C
Large (100K)</t>
  </si>
  <si>
    <t xml:space="preserve">Scenario D
Catastrophic (500K)</t>
  </si>
  <si>
    <t xml:space="preserve">  DUMP SIZE</t>
  </si>
  <si>
    <t xml:space="preserve">  BTC Sold (coins)</t>
  </si>
  <si>
    <t xml:space="preserve">  BTC Sold ($M)</t>
  </si>
  <si>
    <t xml:space="preserve">  % of Satoshi Holdings</t>
  </si>
  <si>
    <t xml:space="preserve">  % of Daily Spot Volume</t>
  </si>
  <si>
    <t xml:space="preserve">  × Aggregate ±2% Order Book Depth</t>
  </si>
  <si>
    <t xml:space="preserve">  PRICE IMPACT ASSUMPTIONS (Inputs — calibrated to historical analogues)</t>
  </si>
  <si>
    <t xml:space="preserve">  Drop at Trigger Fire (incl. oracle lag — before IF acts)</t>
  </si>
  <si>
    <t xml:space="preserve">  Additional Drop During IF Hold (4 hrs after trigger)</t>
  </si>
  <si>
    <t xml:space="preserve">  DEX Execution Slippage — Tier 2 (~5 min window)</t>
  </si>
  <si>
    <t xml:space="preserve">  Auctioneer Shortfall vs pre-event — Tier 3 (30 min)</t>
  </si>
  <si>
    <t xml:space="preserve">  CUMULATIVE PRICE PATH FROM PRE-EVENT</t>
  </si>
  <si>
    <t xml:space="preserve">  Pre-Event BTC Price ($)</t>
  </si>
  <si>
    <t xml:space="preserve">  Price at Trigger Fire ($)</t>
  </si>
  <si>
    <t xml:space="preserve">  Price After IF Holding Period (~4 hrs) ($)</t>
  </si>
  <si>
    <t xml:space="preserve">  Total Drop: Pre-Event → Trigger Fire</t>
  </si>
  <si>
    <t xml:space="preserve">  Total Drop: Pre-Event → 4-Hour Mark</t>
  </si>
  <si>
    <t xml:space="preserve">  ESTIMATED PEAK DROPS (Reference — not used in IF loss calc directly)</t>
  </si>
  <si>
    <t xml:space="preserve">  Est. 24-Hour Drop from Pre-Event</t>
  </si>
  <si>
    <t xml:space="preserve">  Est. Peak Drop (3–14 day horizon)</t>
  </si>
  <si>
    <t xml:space="preserve">  Est. Recovery Period (months)</t>
  </si>
  <si>
    <t xml:space="preserve">  INSURANCE FUND SIZING — Required Reserve vs. TVL</t>
  </si>
  <si>
    <t xml:space="preserve">  Required IF ($M) and IF/TVL% for each Satoshi scenario across growth stages</t>
  </si>
  <si>
    <t xml:space="preserve">  TVL &amp; ASSET MIX (from Assumptions)</t>
  </si>
  <si>
    <t xml:space="preserve">Bear
$250M TVL</t>
  </si>
  <si>
    <t xml:space="preserve">Base
$1B TVL</t>
  </si>
  <si>
    <t xml:space="preserve">Growth
$2.5B TVL</t>
  </si>
  <si>
    <t xml:space="preserve">Bull
$5B TVL</t>
  </si>
  <si>
    <t xml:space="preserve">Hyper
$10B TVL</t>
  </si>
  <si>
    <t xml:space="preserve">  Protocol TVL ($M)</t>
  </si>
  <si>
    <t xml:space="preserve">  BTC Vaults ($M)  [= TVL × BTC%]</t>
  </si>
  <si>
    <t xml:space="preserve">  Tier 1 IF Direct ($M)  [BTC × 15%]</t>
  </si>
  <si>
    <t xml:space="preserve">  Tier 2 DEX ($M)  [BTC × 65%]</t>
  </si>
  <si>
    <t xml:space="preserve">  Tier 3 Auctioneer ($M)  [BTC × 20%]</t>
  </si>
  <si>
    <t xml:space="preserve">  Scenario A: Small Signal (1K BTC)</t>
  </si>
  <si>
    <t xml:space="preserve">Loss Driver</t>
  </si>
  <si>
    <t xml:space="preserve">  Tier 1: BTC absorbed by IF ($M)</t>
  </si>
  <si>
    <t xml:space="preserve">  Tier 1: Drop during IF holding period</t>
  </si>
  <si>
    <t xml:space="preserve">  Tier 1: IF Loss ($M)</t>
  </si>
  <si>
    <t xml:space="preserve">  Tier 2: DEX slippage cost ($M)</t>
  </si>
  <si>
    <t xml:space="preserve">  Tier 3: Auctioneer shortfall ($M)</t>
  </si>
  <si>
    <t xml:space="preserve">  ── Total IF Liability ($M)</t>
  </si>
  <si>
    <t xml:space="preserve">  ── Required IF / TVL (%)</t>
  </si>
  <si>
    <t xml:space="preserve">    → Check: Is 1% enrollment sufficient?</t>
  </si>
  <si>
    <t xml:space="preserve">  Scenario B: Moderate (10K BTC)</t>
  </si>
  <si>
    <t xml:space="preserve">  Scenario C: Large (100K BTC)</t>
  </si>
  <si>
    <t xml:space="preserve">  Scenario D: Catastrophic (500K BTC)</t>
  </si>
  <si>
    <t xml:space="preserve">  SUMMARY: Required IF % of TVL by Scenario</t>
  </si>
  <si>
    <t xml:space="preserve">Scenario A: Small Signal (1K BTC)</t>
  </si>
  <si>
    <t xml:space="preserve">  KEY FINDING:  Scenario A (small): ~1–2% IF/TVL — a 1% enrollment premium could cover it.  Scenario B (moderate): ~4–5% IF/TVL — enrollment alone insufficient; needs steady-state buildup.  Scenario C+D: 8–12% — requires seed capital + reinsurance.</t>
  </si>
  <si>
    <t xml:space="preserve">  FEE CALIBRATION — Enrollment Premium &amp; IF Buildup</t>
  </si>
  <si>
    <t xml:space="preserve">  How quickly does the IF reach target size, and what fee structure gets us there?</t>
  </si>
  <si>
    <t xml:space="preserve">  FEE ASSUMPTIONS (Blue = editable inputs)</t>
  </si>
  <si>
    <t xml:space="preserve">  Enrollment Premium (one-time, % of deposit)</t>
  </si>
  <si>
    <t xml:space="preserve">SSL spec range: 0.25–1.00%; default 0.50%</t>
  </si>
  <si>
    <t xml:space="preserve">  Ongoing Annual Fee (% of AUM)</t>
  </si>
  <si>
    <t xml:space="preserve">%/yr</t>
  </si>
  <si>
    <t xml:space="preserve">SSL spec range: 5–20 bps/yr; default 10 bps</t>
  </si>
  <si>
    <t xml:space="preserve">  Auctioneer Rev Share → IF</t>
  </si>
  <si>
    <t xml:space="preserve">Fixed at 10% per OQ-1 protocol design</t>
  </si>
  <si>
    <t xml:space="preserve">  Target IF / TVL Ratio</t>
  </si>
  <si>
    <t xml:space="preserve">5% = covers Scenario B (moderate event)</t>
  </si>
  <si>
    <t xml:space="preserve">  Protocol Seed Capital ($M)</t>
  </si>
  <si>
    <t xml:space="preserve">From founding team / early backers</t>
  </si>
  <si>
    <t xml:space="preserve">  IF Retention (% of inflows kept in reserve)</t>
  </si>
  <si>
    <t xml:space="preserve">50% retained; 50% to stakers per OQ-1</t>
  </si>
  <si>
    <t xml:space="preserve">  IF RESERVE BUILDUP — Years to Reach Target IF/TVL</t>
  </si>
  <si>
    <t xml:space="preserve">$250M TVL</t>
  </si>
  <si>
    <t xml:space="preserve">$500M TVL</t>
  </si>
  <si>
    <t xml:space="preserve">$1B TVL</t>
  </si>
  <si>
    <t xml:space="preserve">$2.5B TVL</t>
  </si>
  <si>
    <t xml:space="preserve">$5B TVL</t>
  </si>
  <si>
    <t xml:space="preserve">  Target IF Size ($M)</t>
  </si>
  <si>
    <t xml:space="preserve">  Annual Enrollment Inflow ($M)  [retained portion]</t>
  </si>
  <si>
    <t xml:space="preserve">  Annual Ongoing Fee Inflow ($M)  [retained portion]</t>
  </si>
  <si>
    <t xml:space="preserve">  Total Annual IF Inflow ($M/yr)</t>
  </si>
  <si>
    <t xml:space="preserve">  → Years to Reach Target</t>
  </si>
  <si>
    <t xml:space="preserve">Green &lt; 3 yrs | Yellow 3–5 yrs | Red &gt; 5 yrs</t>
  </si>
  <si>
    <t xml:space="preserve">  SENSITIVITY MATRIX: Years to Reach 5% IF Target  |  $1B TVL, $5M Seed, 50% Retention</t>
  </si>
  <si>
    <t xml:space="preserve">Ongoing Fee (bps) \ Enrollment →</t>
  </si>
  <si>
    <t xml:space="preserve">Enroll 0.25%</t>
  </si>
  <si>
    <t xml:space="preserve">Enroll 0.50%</t>
  </si>
  <si>
    <t xml:space="preserve">Enroll 0.75%</t>
  </si>
  <si>
    <t xml:space="preserve">Enroll 1.00%</t>
  </si>
  <si>
    <t xml:space="preserve">Enroll 1.50%</t>
  </si>
  <si>
    <t xml:space="preserve">5 bps/yr</t>
  </si>
  <si>
    <t xml:space="preserve">10 bps/yr</t>
  </si>
  <si>
    <t xml:space="preserve">15 bps/yr</t>
  </si>
  <si>
    <t xml:space="preserve">20 bps/yr</t>
  </si>
  <si>
    <t xml:space="preserve">30 bps/yr</t>
  </si>
  <si>
    <t xml:space="preserve">Green ≤ 3 yrs | Yellow 3–5 yrs | Red &gt; 5 yrs  (Base: $1B TVL, $5M seed, 5% IF target, 50% retention)</t>
  </si>
  <si>
    <t xml:space="preserve">  COMPARABLE PROTOCOL COVERAGE BENCHMARKS</t>
  </si>
  <si>
    <t xml:space="preserve">Protocol</t>
  </si>
  <si>
    <t xml:space="preserve">Type</t>
  </si>
  <si>
    <t xml:space="preserve">Entry Fee</t>
  </si>
  <si>
    <t xml:space="preserve">Annual Fee</t>
  </si>
  <si>
    <t xml:space="preserve">IF/Reserve Ratio</t>
  </si>
  <si>
    <t xml:space="preserve">Nexus Mutual</t>
  </si>
  <si>
    <t xml:space="preserve">Smart contract cover</t>
  </si>
  <si>
    <t xml:space="preserve">0%</t>
  </si>
  <si>
    <t xml:space="preserve">&lt;1.0%</t>
  </si>
  <si>
    <t xml:space="preserve">~30% capital pool / coverage</t>
  </si>
  <si>
    <t xml:space="preserve">InsurAce</t>
  </si>
  <si>
    <t xml:space="preserve">Multi-chain DeFi cover</t>
  </si>
  <si>
    <t xml:space="preserve">0.5–3.0%</t>
  </si>
  <si>
    <t xml:space="preserve">~20%</t>
  </si>
  <si>
    <t xml:space="preserve">Unslashed Finance</t>
  </si>
  <si>
    <t xml:space="preserve">Slashing cover</t>
  </si>
  <si>
    <t xml:space="preserve">1.0–2.0%</t>
  </si>
  <si>
    <t xml:space="preserve">~25%</t>
  </si>
  <si>
    <t xml:space="preserve">Risk Harbor</t>
  </si>
  <si>
    <t xml:space="preserve">Parametric DeFi cover</t>
  </si>
  <si>
    <t xml:space="preserve">1.0–4.0%</t>
  </si>
  <si>
    <t xml:space="preserve">~15%</t>
  </si>
  <si>
    <t xml:space="preserve">SSL (this model)</t>
  </si>
  <si>
    <t xml:space="preserve">Satoshi stop-loss</t>
  </si>
  <si>
    <t xml:space="preserve">0.50%</t>
  </si>
  <si>
    <t xml:space="preserve">0.10%</t>
  </si>
  <si>
    <t xml:space="preserve">Target 5%; tail risk 10–12%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</si>
</sst>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#,##0"/>
    <numFmt numFmtId="167" formatCode="\$#,##0,,"/>
    <numFmt numFmtId="168" formatCode="0.0%"/>
    <numFmt numFmtId="169" formatCode="0.0"/>
    <numFmt numFmtId="170" formatCode="0.000%"/>
    <numFmt numFmtId="171" formatCode="0%"/>
    <numFmt numFmtId="172" formatCode="@"/>
    <numFmt numFmtId="173" formatCode="\$#,##0.0"/>
    <numFmt numFmtId="174" formatCode="0.0\×"/>
    <numFmt numFmtId="175" formatCode="\$#,##0.1"/>
    <numFmt numFmtId="176" formatCode="0.0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2"/>
      <color rgb="FFF7931A"/>
      <name val="Arial"/>
      <family val="0"/>
      <charset val="1"/>
    </font>
    <font>
      <b val="true"/>
      <sz val="11"/>
      <color rgb="FFF7931A"/>
      <name val="Arial"/>
      <family val="0"/>
      <charset val="1"/>
    </font>
    <font>
      <i val="true"/>
      <sz val="11"/>
      <color rgb="FF374151"/>
      <name val="Arial"/>
      <family val="0"/>
      <charset val="1"/>
    </font>
    <font>
      <b val="true"/>
      <sz val="10"/>
      <color rgb="FFF793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8"/>
      <color rgb="FF9CA3A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9"/>
      <color rgb="FFF7931A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BAE6FD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1A"/>
        <bgColor rgb="FF111111"/>
      </patternFill>
    </fill>
    <fill>
      <patternFill patternType="solid">
        <fgColor rgb="FF111111"/>
        <bgColor rgb="FF1A1A1A"/>
      </patternFill>
    </fill>
    <fill>
      <patternFill patternType="solid">
        <fgColor rgb="FFDCFCE7"/>
        <bgColor rgb="FFEFF6FF"/>
      </patternFill>
    </fill>
    <fill>
      <patternFill patternType="solid">
        <fgColor rgb="FFFEF9C3"/>
        <bgColor rgb="FFF5F5F5"/>
      </patternFill>
    </fill>
    <fill>
      <patternFill patternType="solid">
        <fgColor rgb="FFFED7AA"/>
        <bgColor rgb="FFFEE2E2"/>
      </patternFill>
    </fill>
    <fill>
      <patternFill patternType="solid">
        <fgColor rgb="FFFEE2E2"/>
        <bgColor rgb="FFF3F4F6"/>
      </patternFill>
    </fill>
    <fill>
      <patternFill patternType="solid">
        <fgColor rgb="FFF7931A"/>
        <bgColor rgb="FFFF6600"/>
      </patternFill>
    </fill>
    <fill>
      <patternFill patternType="solid">
        <fgColor rgb="FFDBEAFE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F5F5F5"/>
        <bgColor rgb="FFF3F4F6"/>
      </patternFill>
    </fill>
    <fill>
      <patternFill patternType="solid">
        <fgColor rgb="FFFFFFFF"/>
        <bgColor rgb="FFF5F5F5"/>
      </patternFill>
    </fill>
    <fill>
      <patternFill patternType="solid">
        <fgColor rgb="FFF3F4F6"/>
        <bgColor rgb="FFF5F5F5"/>
      </patternFill>
    </fill>
    <fill>
      <patternFill patternType="solid">
        <fgColor rgb="FF2D2D2D"/>
        <bgColor rgb="FF1A1A1A"/>
      </patternFill>
    </fill>
    <fill>
      <patternFill patternType="solid">
        <fgColor rgb="FF1E3A5F"/>
        <bgColor rgb="FF37415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C3AED"/>
      <rgbColor rgb="FFFEF9C3"/>
      <rgbColor rgb="FFDCFCE7"/>
      <rgbColor rgb="FF660066"/>
      <rgbColor rgb="FFFF8080"/>
      <rgbColor rgb="FF1D4ED8"/>
      <rgbColor rgb="FFBAE6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5F5F5"/>
      <rgbColor rgb="FFF3F4F6"/>
      <rgbColor rgb="FFFEE2E2"/>
      <rgbColor rgb="FFCC99FF"/>
      <rgbColor rgb="FFFED7AA"/>
      <rgbColor rgb="FF3366FF"/>
      <rgbColor rgb="FF33CCCC"/>
      <rgbColor rgb="FF99CC00"/>
      <rgbColor rgb="FFFFCC00"/>
      <rgbColor rgb="FFF7931A"/>
      <rgbColor rgb="FFFF6600"/>
      <rgbColor rgb="FF6B7280"/>
      <rgbColor rgb="FF9CA3AF"/>
      <rgbColor rgb="FF1E3A5F"/>
      <rgbColor rgb="FF16A34A"/>
      <rgbColor rgb="FF111111"/>
      <rgbColor rgb="FF1A1A1A"/>
      <rgbColor rgb="FF993300"/>
      <rgbColor rgb="FF374151"/>
      <rgbColor rgb="FF1E40AF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31A"/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5" t="s">
        <v>4</v>
      </c>
      <c r="B7" s="5"/>
      <c r="C7" s="5"/>
      <c r="D7" s="5"/>
      <c r="E7" s="5"/>
    </row>
    <row r="8" customFormat="false" ht="1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  <c r="C9" s="8" t="s">
        <v>12</v>
      </c>
      <c r="D9" s="9" t="s">
        <v>13</v>
      </c>
      <c r="E9" s="10" t="s">
        <v>14</v>
      </c>
    </row>
    <row r="10" customFormat="false" ht="15" hidden="false" customHeight="false" outlineLevel="0" collapsed="false">
      <c r="A10" s="11" t="s">
        <v>15</v>
      </c>
      <c r="B10" s="12" t="s">
        <v>16</v>
      </c>
      <c r="C10" s="12" t="s">
        <v>17</v>
      </c>
      <c r="D10" s="13" t="s">
        <v>18</v>
      </c>
      <c r="E10" s="14" t="s">
        <v>19</v>
      </c>
    </row>
    <row r="11" customFormat="false" ht="15" hidden="false" customHeight="false" outlineLevel="0" collapsed="false">
      <c r="A11" s="15" t="s">
        <v>20</v>
      </c>
      <c r="B11" s="16" t="s">
        <v>21</v>
      </c>
      <c r="C11" s="16" t="s">
        <v>22</v>
      </c>
      <c r="D11" s="17" t="s">
        <v>23</v>
      </c>
      <c r="E11" s="18" t="s">
        <v>24</v>
      </c>
    </row>
    <row r="12" customFormat="false" ht="15" hidden="false" customHeight="false" outlineLevel="0" collapsed="false">
      <c r="A12" s="19" t="s">
        <v>25</v>
      </c>
      <c r="B12" s="20" t="s">
        <v>26</v>
      </c>
      <c r="C12" s="20" t="s">
        <v>27</v>
      </c>
      <c r="D12" s="21" t="s">
        <v>28</v>
      </c>
      <c r="E12" s="22" t="s">
        <v>29</v>
      </c>
    </row>
    <row r="14" customFormat="false" ht="15" hidden="false" customHeight="false" outlineLevel="0" collapsed="false">
      <c r="A14" s="23" t="s">
        <v>30</v>
      </c>
      <c r="B14" s="23"/>
      <c r="C14" s="23"/>
      <c r="D14" s="23"/>
      <c r="E14" s="23"/>
    </row>
    <row r="15" customFormat="false" ht="39.75" hidden="false" customHeight="true" outlineLevel="0" collapsed="false">
      <c r="A15" s="24" t="s">
        <v>31</v>
      </c>
      <c r="B15" s="24"/>
      <c r="C15" s="25" t="s">
        <v>32</v>
      </c>
      <c r="D15" s="25"/>
      <c r="E15" s="25"/>
    </row>
    <row r="16" customFormat="false" ht="39.75" hidden="false" customHeight="true" outlineLevel="0" collapsed="false">
      <c r="A16" s="26" t="s">
        <v>33</v>
      </c>
      <c r="B16" s="26"/>
      <c r="C16" s="27" t="s">
        <v>34</v>
      </c>
      <c r="D16" s="27"/>
      <c r="E16" s="27"/>
    </row>
    <row r="17" customFormat="false" ht="39.75" hidden="false" customHeight="true" outlineLevel="0" collapsed="false">
      <c r="A17" s="24" t="s">
        <v>35</v>
      </c>
      <c r="B17" s="24"/>
      <c r="C17" s="25" t="s">
        <v>36</v>
      </c>
      <c r="D17" s="25"/>
      <c r="E17" s="25"/>
    </row>
    <row r="18" customFormat="false" ht="39.75" hidden="false" customHeight="true" outlineLevel="0" collapsed="false">
      <c r="A18" s="26" t="s">
        <v>37</v>
      </c>
      <c r="B18" s="26"/>
      <c r="C18" s="27" t="s">
        <v>38</v>
      </c>
      <c r="D18" s="27"/>
      <c r="E18" s="27"/>
    </row>
    <row r="20" customFormat="false" ht="15" hidden="false" customHeight="false" outlineLevel="0" collapsed="false">
      <c r="A20" s="5" t="s">
        <v>39</v>
      </c>
      <c r="B20" s="5"/>
      <c r="C20" s="5"/>
      <c r="D20" s="5"/>
      <c r="E20" s="5"/>
    </row>
    <row r="21" customFormat="false" ht="15" hidden="false" customHeight="false" outlineLevel="0" collapsed="false">
      <c r="A21" s="28" t="s">
        <v>40</v>
      </c>
      <c r="B21" s="28"/>
      <c r="C21" s="29" t="s">
        <v>41</v>
      </c>
      <c r="D21" s="29"/>
      <c r="E21" s="29"/>
    </row>
    <row r="22" customFormat="false" ht="15" hidden="false" customHeight="false" outlineLevel="0" collapsed="false">
      <c r="A22" s="30" t="s">
        <v>42</v>
      </c>
      <c r="B22" s="30"/>
      <c r="C22" s="31" t="s">
        <v>43</v>
      </c>
      <c r="D22" s="31"/>
      <c r="E22" s="31"/>
    </row>
    <row r="23" customFormat="false" ht="15" hidden="false" customHeight="false" outlineLevel="0" collapsed="false">
      <c r="A23" s="28" t="s">
        <v>44</v>
      </c>
      <c r="B23" s="28"/>
      <c r="C23" s="29" t="s">
        <v>45</v>
      </c>
      <c r="D23" s="29"/>
      <c r="E23" s="29"/>
    </row>
    <row r="24" customFormat="false" ht="15" hidden="false" customHeight="false" outlineLevel="0" collapsed="false">
      <c r="A24" s="30" t="s">
        <v>46</v>
      </c>
      <c r="B24" s="30"/>
      <c r="C24" s="31" t="s">
        <v>47</v>
      </c>
      <c r="D24" s="31"/>
      <c r="E24" s="31"/>
    </row>
    <row r="25" customFormat="false" ht="15" hidden="false" customHeight="false" outlineLevel="0" collapsed="false">
      <c r="A25" s="28" t="s">
        <v>48</v>
      </c>
      <c r="B25" s="28"/>
      <c r="C25" s="29" t="s">
        <v>49</v>
      </c>
      <c r="D25" s="29"/>
      <c r="E25" s="29"/>
    </row>
    <row r="26" customFormat="false" ht="15" hidden="false" customHeight="false" outlineLevel="0" collapsed="false">
      <c r="A26" s="30" t="s">
        <v>50</v>
      </c>
      <c r="B26" s="30"/>
      <c r="C26" s="31" t="s">
        <v>51</v>
      </c>
      <c r="D26" s="31"/>
      <c r="E26" s="31"/>
    </row>
    <row r="27" customFormat="false" ht="15" hidden="false" customHeight="false" outlineLevel="0" collapsed="false">
      <c r="A27" s="28" t="s">
        <v>52</v>
      </c>
      <c r="B27" s="28"/>
      <c r="C27" s="29" t="s">
        <v>53</v>
      </c>
      <c r="D27" s="29"/>
      <c r="E27" s="29"/>
    </row>
    <row r="28" customFormat="false" ht="15" hidden="false" customHeight="false" outlineLevel="0" collapsed="false">
      <c r="A28" s="30" t="s">
        <v>54</v>
      </c>
      <c r="B28" s="30"/>
      <c r="C28" s="31" t="s">
        <v>55</v>
      </c>
      <c r="D28" s="31"/>
      <c r="E28" s="31"/>
    </row>
    <row r="30" customFormat="false" ht="15" hidden="false" customHeight="false" outlineLevel="0" collapsed="false">
      <c r="A30" s="32" t="s">
        <v>56</v>
      </c>
      <c r="B30" s="32"/>
      <c r="C30" s="32"/>
      <c r="D30" s="32"/>
      <c r="E30" s="32"/>
    </row>
  </sheetData>
  <mergeCells count="32">
    <mergeCell ref="A1:E1"/>
    <mergeCell ref="A2:E2"/>
    <mergeCell ref="A4:E4"/>
    <mergeCell ref="A5:E5"/>
    <mergeCell ref="A7:E7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33" t="s">
        <v>57</v>
      </c>
      <c r="B1" s="33"/>
      <c r="C1" s="33"/>
      <c r="D1" s="33"/>
    </row>
    <row r="2" customFormat="false" ht="15" hidden="false" customHeight="false" outlineLevel="0" collapsed="false">
      <c r="A2" s="34" t="s">
        <v>58</v>
      </c>
      <c r="B2" s="34"/>
      <c r="C2" s="34"/>
      <c r="D2" s="34"/>
    </row>
    <row r="4" customFormat="false" ht="15" hidden="false" customHeight="false" outlineLevel="0" collapsed="false">
      <c r="A4" s="35" t="s">
        <v>59</v>
      </c>
      <c r="B4" s="35"/>
      <c r="C4" s="35"/>
      <c r="D4" s="35"/>
    </row>
    <row r="5" customFormat="false" ht="15" hidden="false" customHeight="false" outlineLevel="0" collapsed="false">
      <c r="A5" s="6" t="s">
        <v>60</v>
      </c>
      <c r="B5" s="6" t="s">
        <v>61</v>
      </c>
      <c r="C5" s="6" t="s">
        <v>62</v>
      </c>
      <c r="D5" s="6" t="s">
        <v>63</v>
      </c>
    </row>
    <row r="6" customFormat="false" ht="15" hidden="false" customHeight="false" outlineLevel="0" collapsed="false">
      <c r="A6" s="36" t="s">
        <v>40</v>
      </c>
      <c r="B6" s="37" t="n">
        <v>67000</v>
      </c>
      <c r="C6" s="38" t="s">
        <v>64</v>
      </c>
      <c r="D6" s="39" t="s">
        <v>65</v>
      </c>
    </row>
    <row r="7" customFormat="false" ht="15" hidden="false" customHeight="false" outlineLevel="0" collapsed="false">
      <c r="A7" s="40" t="s">
        <v>66</v>
      </c>
      <c r="B7" s="41" t="n">
        <v>19870000</v>
      </c>
      <c r="C7" s="42" t="s">
        <v>67</v>
      </c>
      <c r="D7" s="43" t="s">
        <v>68</v>
      </c>
    </row>
    <row r="8" customFormat="false" ht="15" hidden="false" customHeight="false" outlineLevel="0" collapsed="false">
      <c r="A8" s="36" t="s">
        <v>69</v>
      </c>
      <c r="B8" s="44" t="n">
        <f aca="false">B7*B6</f>
        <v>1331290000000</v>
      </c>
      <c r="C8" s="38" t="s">
        <v>70</v>
      </c>
      <c r="D8" s="39" t="s">
        <v>71</v>
      </c>
    </row>
    <row r="9" customFormat="false" ht="15" hidden="false" customHeight="false" outlineLevel="0" collapsed="false">
      <c r="A9" s="40" t="s">
        <v>72</v>
      </c>
      <c r="B9" s="45" t="n">
        <v>25000000000</v>
      </c>
      <c r="C9" s="42" t="s">
        <v>70</v>
      </c>
      <c r="D9" s="43" t="s">
        <v>73</v>
      </c>
    </row>
    <row r="10" customFormat="false" ht="15" hidden="false" customHeight="false" outlineLevel="0" collapsed="false">
      <c r="A10" s="36" t="s">
        <v>74</v>
      </c>
      <c r="B10" s="45" t="n">
        <v>8000000000</v>
      </c>
      <c r="C10" s="38" t="s">
        <v>70</v>
      </c>
      <c r="D10" s="39" t="s">
        <v>75</v>
      </c>
    </row>
    <row r="11" customFormat="false" ht="15" hidden="false" customHeight="false" outlineLevel="0" collapsed="false">
      <c r="A11" s="40" t="s">
        <v>76</v>
      </c>
      <c r="B11" s="45" t="n">
        <v>40000000000</v>
      </c>
      <c r="C11" s="42" t="s">
        <v>70</v>
      </c>
      <c r="D11" s="43" t="s">
        <v>77</v>
      </c>
    </row>
    <row r="12" customFormat="false" ht="15" hidden="false" customHeight="false" outlineLevel="0" collapsed="false">
      <c r="A12" s="36" t="s">
        <v>78</v>
      </c>
      <c r="B12" s="45" t="n">
        <v>100000000</v>
      </c>
      <c r="C12" s="38" t="s">
        <v>70</v>
      </c>
      <c r="D12" s="39" t="s">
        <v>79</v>
      </c>
    </row>
    <row r="13" customFormat="false" ht="15" hidden="false" customHeight="false" outlineLevel="0" collapsed="false">
      <c r="A13" s="40" t="s">
        <v>80</v>
      </c>
      <c r="B13" s="45" t="n">
        <v>25000000</v>
      </c>
      <c r="C13" s="42" t="s">
        <v>70</v>
      </c>
      <c r="D13" s="43" t="s">
        <v>81</v>
      </c>
    </row>
    <row r="14" customFormat="false" ht="15" hidden="false" customHeight="false" outlineLevel="0" collapsed="false">
      <c r="A14" s="36" t="s">
        <v>82</v>
      </c>
      <c r="B14" s="46" t="n">
        <v>0.04</v>
      </c>
      <c r="C14" s="38" t="s">
        <v>83</v>
      </c>
      <c r="D14" s="39" t="s">
        <v>84</v>
      </c>
    </row>
    <row r="15" customFormat="false" ht="15" hidden="false" customHeight="false" outlineLevel="0" collapsed="false">
      <c r="A15" s="40" t="s">
        <v>85</v>
      </c>
      <c r="B15" s="47" t="n">
        <v>3</v>
      </c>
      <c r="C15" s="42" t="s">
        <v>86</v>
      </c>
      <c r="D15" s="43" t="s">
        <v>87</v>
      </c>
    </row>
    <row r="17" customFormat="false" ht="15" hidden="false" customHeight="false" outlineLevel="0" collapsed="false">
      <c r="A17" s="35" t="s">
        <v>88</v>
      </c>
      <c r="B17" s="35"/>
      <c r="C17" s="35"/>
      <c r="D17" s="35"/>
    </row>
    <row r="18" customFormat="false" ht="15" hidden="false" customHeight="false" outlineLevel="0" collapsed="false">
      <c r="A18" s="6" t="s">
        <v>60</v>
      </c>
      <c r="B18" s="6" t="s">
        <v>61</v>
      </c>
      <c r="C18" s="6" t="s">
        <v>62</v>
      </c>
      <c r="D18" s="6" t="s">
        <v>63</v>
      </c>
    </row>
    <row r="19" customFormat="false" ht="15" hidden="false" customHeight="false" outlineLevel="0" collapsed="false">
      <c r="A19" s="36" t="s">
        <v>89</v>
      </c>
      <c r="B19" s="41" t="n">
        <v>1100000</v>
      </c>
      <c r="C19" s="38" t="s">
        <v>67</v>
      </c>
      <c r="D19" s="39" t="s">
        <v>90</v>
      </c>
    </row>
    <row r="20" customFormat="false" ht="15" hidden="false" customHeight="false" outlineLevel="0" collapsed="false">
      <c r="A20" s="40" t="s">
        <v>91</v>
      </c>
      <c r="B20" s="41" t="n">
        <v>700000</v>
      </c>
      <c r="C20" s="42" t="s">
        <v>67</v>
      </c>
      <c r="D20" s="43" t="s">
        <v>92</v>
      </c>
    </row>
    <row r="21" customFormat="false" ht="15" hidden="false" customHeight="false" outlineLevel="0" collapsed="false">
      <c r="A21" s="36" t="s">
        <v>93</v>
      </c>
      <c r="B21" s="48" t="n">
        <f aca="false">B19</f>
        <v>1100000</v>
      </c>
      <c r="C21" s="38" t="s">
        <v>67</v>
      </c>
      <c r="D21" s="39" t="s">
        <v>94</v>
      </c>
    </row>
    <row r="22" customFormat="false" ht="15" hidden="false" customHeight="false" outlineLevel="0" collapsed="false">
      <c r="A22" s="40" t="s">
        <v>95</v>
      </c>
      <c r="B22" s="44" t="n">
        <f aca="false">B21*B6</f>
        <v>73700000000</v>
      </c>
      <c r="C22" s="42" t="s">
        <v>70</v>
      </c>
      <c r="D22" s="43" t="s">
        <v>96</v>
      </c>
    </row>
    <row r="23" customFormat="false" ht="15" hidden="false" customHeight="false" outlineLevel="0" collapsed="false">
      <c r="A23" s="36" t="s">
        <v>97</v>
      </c>
      <c r="B23" s="49" t="n">
        <f aca="false">B21/B7</f>
        <v>0.0553598389531958</v>
      </c>
      <c r="C23" s="38" t="s">
        <v>98</v>
      </c>
      <c r="D23" s="39" t="s">
        <v>99</v>
      </c>
    </row>
    <row r="24" customFormat="false" ht="15" hidden="false" customHeight="false" outlineLevel="0" collapsed="false">
      <c r="A24" s="40" t="s">
        <v>100</v>
      </c>
      <c r="B24" s="49" t="n">
        <f aca="false">B22/B8</f>
        <v>0.0553598389531958</v>
      </c>
      <c r="C24" s="42" t="s">
        <v>98</v>
      </c>
      <c r="D24" s="43" t="s">
        <v>101</v>
      </c>
    </row>
    <row r="26" customFormat="false" ht="15" hidden="false" customHeight="false" outlineLevel="0" collapsed="false">
      <c r="A26" s="35" t="s">
        <v>102</v>
      </c>
      <c r="B26" s="35"/>
      <c r="C26" s="35"/>
      <c r="D26" s="35"/>
    </row>
    <row r="27" customFormat="false" ht="15" hidden="false" customHeight="false" outlineLevel="0" collapsed="false">
      <c r="A27" s="6" t="s">
        <v>60</v>
      </c>
      <c r="B27" s="6" t="s">
        <v>61</v>
      </c>
      <c r="C27" s="6" t="s">
        <v>62</v>
      </c>
      <c r="D27" s="6" t="s">
        <v>103</v>
      </c>
    </row>
    <row r="28" customFormat="false" ht="15" hidden="false" customHeight="false" outlineLevel="0" collapsed="false">
      <c r="A28" s="36" t="s">
        <v>104</v>
      </c>
      <c r="B28" s="37" t="n">
        <v>250</v>
      </c>
      <c r="C28" s="38" t="s">
        <v>105</v>
      </c>
      <c r="D28" s="39" t="s">
        <v>106</v>
      </c>
    </row>
    <row r="29" customFormat="false" ht="15" hidden="false" customHeight="false" outlineLevel="0" collapsed="false">
      <c r="A29" s="40" t="s">
        <v>107</v>
      </c>
      <c r="B29" s="37" t="n">
        <v>1000</v>
      </c>
      <c r="C29" s="42" t="s">
        <v>105</v>
      </c>
      <c r="D29" s="43" t="s">
        <v>108</v>
      </c>
    </row>
    <row r="30" customFormat="false" ht="15" hidden="false" customHeight="false" outlineLevel="0" collapsed="false">
      <c r="A30" s="36" t="s">
        <v>109</v>
      </c>
      <c r="B30" s="37" t="n">
        <v>5000</v>
      </c>
      <c r="C30" s="38" t="s">
        <v>105</v>
      </c>
      <c r="D30" s="39" t="s">
        <v>110</v>
      </c>
    </row>
    <row r="31" customFormat="false" ht="15" hidden="false" customHeight="false" outlineLevel="0" collapsed="false">
      <c r="A31" s="40" t="s">
        <v>111</v>
      </c>
      <c r="B31" s="50" t="n">
        <v>0.6</v>
      </c>
      <c r="C31" s="42" t="s">
        <v>98</v>
      </c>
      <c r="D31" s="43" t="s">
        <v>112</v>
      </c>
    </row>
    <row r="32" customFormat="false" ht="15" hidden="false" customHeight="false" outlineLevel="0" collapsed="false">
      <c r="A32" s="36" t="s">
        <v>113</v>
      </c>
      <c r="B32" s="50" t="n">
        <v>0.25</v>
      </c>
      <c r="C32" s="38" t="s">
        <v>98</v>
      </c>
      <c r="D32" s="39" t="s">
        <v>114</v>
      </c>
    </row>
    <row r="33" customFormat="false" ht="15" hidden="false" customHeight="false" outlineLevel="0" collapsed="false">
      <c r="A33" s="40" t="s">
        <v>115</v>
      </c>
      <c r="B33" s="50" t="n">
        <v>0.15</v>
      </c>
      <c r="C33" s="42" t="s">
        <v>98</v>
      </c>
      <c r="D33" s="43" t="s">
        <v>116</v>
      </c>
    </row>
    <row r="34" customFormat="false" ht="15" hidden="false" customHeight="false" outlineLevel="0" collapsed="false">
      <c r="A34" s="36" t="s">
        <v>117</v>
      </c>
      <c r="B34" s="50" t="n">
        <v>0.15</v>
      </c>
      <c r="C34" s="38" t="s">
        <v>98</v>
      </c>
      <c r="D34" s="39" t="s">
        <v>118</v>
      </c>
    </row>
    <row r="35" customFormat="false" ht="15" hidden="false" customHeight="false" outlineLevel="0" collapsed="false">
      <c r="A35" s="40" t="s">
        <v>119</v>
      </c>
      <c r="B35" s="50" t="n">
        <v>0.65</v>
      </c>
      <c r="C35" s="42" t="s">
        <v>98</v>
      </c>
      <c r="D35" s="43" t="s">
        <v>120</v>
      </c>
    </row>
    <row r="36" customFormat="false" ht="15" hidden="false" customHeight="false" outlineLevel="0" collapsed="false">
      <c r="A36" s="36" t="s">
        <v>121</v>
      </c>
      <c r="B36" s="50" t="n">
        <v>0.2</v>
      </c>
      <c r="C36" s="38" t="s">
        <v>98</v>
      </c>
      <c r="D36" s="39" t="s">
        <v>122</v>
      </c>
    </row>
    <row r="37" customFormat="false" ht="15" hidden="false" customHeight="false" outlineLevel="0" collapsed="false">
      <c r="A37" s="40" t="s">
        <v>123</v>
      </c>
      <c r="B37" s="41" t="n">
        <v>2</v>
      </c>
      <c r="C37" s="42" t="s">
        <v>124</v>
      </c>
      <c r="D37" s="43" t="s">
        <v>125</v>
      </c>
    </row>
    <row r="38" customFormat="false" ht="15" hidden="false" customHeight="false" outlineLevel="0" collapsed="false">
      <c r="A38" s="36" t="s">
        <v>126</v>
      </c>
      <c r="B38" s="50" t="n">
        <v>0.08</v>
      </c>
      <c r="C38" s="38" t="s">
        <v>98</v>
      </c>
      <c r="D38" s="39" t="s">
        <v>127</v>
      </c>
    </row>
    <row r="39" customFormat="false" ht="15" hidden="false" customHeight="false" outlineLevel="0" collapsed="false">
      <c r="A39" s="40" t="s">
        <v>128</v>
      </c>
      <c r="B39" s="47" t="n">
        <v>4</v>
      </c>
      <c r="C39" s="42" t="s">
        <v>129</v>
      </c>
      <c r="D39" s="43" t="s">
        <v>130</v>
      </c>
    </row>
    <row r="41" customFormat="false" ht="15" hidden="false" customHeight="false" outlineLevel="0" collapsed="false">
      <c r="A41" s="35" t="s">
        <v>131</v>
      </c>
      <c r="B41" s="35"/>
      <c r="C41" s="35"/>
      <c r="D41" s="35"/>
      <c r="E41" s="35"/>
      <c r="F41" s="35"/>
    </row>
    <row r="42" customFormat="false" ht="15" hidden="false" customHeight="false" outlineLevel="0" collapsed="false">
      <c r="A42" s="6" t="s">
        <v>132</v>
      </c>
      <c r="B42" s="6" t="s">
        <v>133</v>
      </c>
      <c r="C42" s="6" t="s">
        <v>134</v>
      </c>
      <c r="D42" s="6" t="s">
        <v>135</v>
      </c>
      <c r="E42" s="6" t="s">
        <v>136</v>
      </c>
      <c r="F42" s="6" t="s">
        <v>137</v>
      </c>
    </row>
    <row r="43" customFormat="false" ht="15" hidden="false" customHeight="false" outlineLevel="0" collapsed="false">
      <c r="A43" s="51" t="s">
        <v>138</v>
      </c>
      <c r="B43" s="52" t="s">
        <v>139</v>
      </c>
      <c r="C43" s="53" t="s">
        <v>140</v>
      </c>
      <c r="D43" s="54" t="n">
        <v>-0.04</v>
      </c>
      <c r="E43" s="55"/>
      <c r="F43" s="56"/>
    </row>
    <row r="44" customFormat="false" ht="15" hidden="false" customHeight="false" outlineLevel="0" collapsed="false">
      <c r="A44" s="57" t="s">
        <v>141</v>
      </c>
      <c r="B44" s="58" t="s">
        <v>142</v>
      </c>
      <c r="C44" s="59" t="s">
        <v>143</v>
      </c>
      <c r="D44" s="60" t="n">
        <v>-0.1</v>
      </c>
      <c r="E44" s="60" t="n">
        <v>-0.2</v>
      </c>
      <c r="F44" s="61" t="n">
        <v>7</v>
      </c>
    </row>
    <row r="45" customFormat="false" ht="15" hidden="false" customHeight="false" outlineLevel="0" collapsed="false">
      <c r="A45" s="51" t="s">
        <v>144</v>
      </c>
      <c r="B45" s="52" t="s">
        <v>145</v>
      </c>
      <c r="C45" s="53" t="s">
        <v>146</v>
      </c>
      <c r="D45" s="54" t="n">
        <v>-0.17</v>
      </c>
      <c r="E45" s="54" t="n">
        <v>-0.25</v>
      </c>
      <c r="F45" s="62" t="n">
        <v>3</v>
      </c>
    </row>
    <row r="46" customFormat="false" ht="15" hidden="false" customHeight="false" outlineLevel="0" collapsed="false">
      <c r="A46" s="57" t="s">
        <v>147</v>
      </c>
      <c r="B46" s="58" t="s">
        <v>148</v>
      </c>
      <c r="C46" s="59" t="s">
        <v>149</v>
      </c>
      <c r="D46" s="60" t="n">
        <v>-0.37</v>
      </c>
      <c r="E46" s="60" t="n">
        <v>-0.5</v>
      </c>
      <c r="F46" s="61" t="n">
        <v>2</v>
      </c>
    </row>
    <row r="47" customFormat="false" ht="15" hidden="false" customHeight="false" outlineLevel="0" collapsed="false">
      <c r="A47" s="51" t="s">
        <v>150</v>
      </c>
      <c r="B47" s="52" t="s">
        <v>151</v>
      </c>
      <c r="C47" s="53" t="s">
        <v>152</v>
      </c>
      <c r="D47" s="54" t="n">
        <v>-0.22</v>
      </c>
      <c r="E47" s="54" t="n">
        <v>-0.58</v>
      </c>
      <c r="F47" s="62" t="n">
        <v>7</v>
      </c>
    </row>
    <row r="48" customFormat="false" ht="15" hidden="false" customHeight="false" outlineLevel="0" collapsed="false">
      <c r="A48" s="11" t="s">
        <v>153</v>
      </c>
      <c r="B48" s="63" t="s">
        <v>154</v>
      </c>
      <c r="C48" s="64" t="s">
        <v>155</v>
      </c>
      <c r="D48" s="65" t="n">
        <v>-0.08</v>
      </c>
      <c r="E48" s="65" t="n">
        <v>-0.15</v>
      </c>
      <c r="F48" s="66" t="n">
        <v>5</v>
      </c>
    </row>
    <row r="49" customFormat="false" ht="15" hidden="false" customHeight="false" outlineLevel="0" collapsed="false">
      <c r="A49" s="15" t="s">
        <v>156</v>
      </c>
      <c r="B49" s="67" t="s">
        <v>154</v>
      </c>
      <c r="C49" s="68" t="s">
        <v>157</v>
      </c>
      <c r="D49" s="69" t="n">
        <v>-0.2</v>
      </c>
      <c r="E49" s="69" t="n">
        <v>-0.35</v>
      </c>
      <c r="F49" s="70" t="n">
        <v>10</v>
      </c>
    </row>
    <row r="50" customFormat="false" ht="15" hidden="false" customHeight="false" outlineLevel="0" collapsed="false">
      <c r="A50" s="19" t="s">
        <v>158</v>
      </c>
      <c r="B50" s="71" t="s">
        <v>154</v>
      </c>
      <c r="C50" s="72" t="s">
        <v>159</v>
      </c>
      <c r="D50" s="73" t="n">
        <v>-0.35</v>
      </c>
      <c r="E50" s="73" t="n">
        <v>-0.6</v>
      </c>
      <c r="F50" s="74" t="n">
        <v>14</v>
      </c>
    </row>
  </sheetData>
  <mergeCells count="6">
    <mergeCell ref="A1:D1"/>
    <mergeCell ref="A2:D2"/>
    <mergeCell ref="A4:D4"/>
    <mergeCell ref="A17:D17"/>
    <mergeCell ref="A26:D26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75" t="s">
        <v>160</v>
      </c>
      <c r="B1" s="75"/>
      <c r="C1" s="75"/>
      <c r="D1" s="75"/>
      <c r="E1" s="75"/>
    </row>
    <row r="2" customFormat="false" ht="15" hidden="false" customHeight="false" outlineLevel="0" collapsed="false">
      <c r="A2" s="34" t="s">
        <v>161</v>
      </c>
      <c r="B2" s="34"/>
      <c r="C2" s="34"/>
      <c r="D2" s="34"/>
      <c r="E2" s="34"/>
    </row>
    <row r="4" customFormat="false" ht="22.35" hidden="false" customHeight="false" outlineLevel="0" collapsed="false">
      <c r="A4" s="6" t="s">
        <v>162</v>
      </c>
      <c r="B4" s="6" t="s">
        <v>163</v>
      </c>
      <c r="C4" s="6" t="s">
        <v>164</v>
      </c>
      <c r="D4" s="6" t="s">
        <v>165</v>
      </c>
      <c r="E4" s="6" t="s">
        <v>166</v>
      </c>
    </row>
    <row r="5" customFormat="false" ht="15" hidden="false" customHeight="false" outlineLevel="0" collapsed="false">
      <c r="A5" s="35" t="s">
        <v>167</v>
      </c>
      <c r="B5" s="35"/>
      <c r="C5" s="35"/>
      <c r="D5" s="35"/>
      <c r="E5" s="35"/>
    </row>
    <row r="6" customFormat="false" ht="15" hidden="false" customHeight="false" outlineLevel="0" collapsed="false">
      <c r="A6" s="76" t="s">
        <v>168</v>
      </c>
      <c r="B6" s="41" t="n">
        <v>1000</v>
      </c>
      <c r="C6" s="41" t="n">
        <v>10000</v>
      </c>
      <c r="D6" s="41" t="n">
        <v>100000</v>
      </c>
      <c r="E6" s="41" t="n">
        <v>500000</v>
      </c>
    </row>
    <row r="7" customFormat="false" ht="15" hidden="false" customHeight="false" outlineLevel="0" collapsed="false">
      <c r="A7" s="76" t="s">
        <v>169</v>
      </c>
      <c r="B7" s="77" t="n">
        <f aca="false">B6*Assumptions!$B$6/1000000</f>
        <v>67</v>
      </c>
      <c r="C7" s="77" t="n">
        <f aca="false">C6*Assumptions!$B$6/1000000</f>
        <v>670</v>
      </c>
      <c r="D7" s="77" t="n">
        <f aca="false">D6*Assumptions!$B$6/1000000</f>
        <v>6700</v>
      </c>
      <c r="E7" s="77" t="n">
        <f aca="false">E6*Assumptions!$B$6/1000000</f>
        <v>33500</v>
      </c>
    </row>
    <row r="8" customFormat="false" ht="15" hidden="false" customHeight="false" outlineLevel="0" collapsed="false">
      <c r="A8" s="76" t="s">
        <v>170</v>
      </c>
      <c r="B8" s="49" t="n">
        <f aca="false">B6/Assumptions!$B$21</f>
        <v>0.000909090909090909</v>
      </c>
      <c r="C8" s="49" t="n">
        <f aca="false">C6/Assumptions!$B$21</f>
        <v>0.00909090909090909</v>
      </c>
      <c r="D8" s="49" t="n">
        <f aca="false">D6/Assumptions!$B$21</f>
        <v>0.0909090909090909</v>
      </c>
      <c r="E8" s="49" t="n">
        <f aca="false">E6/Assumptions!$B$21</f>
        <v>0.454545454545455</v>
      </c>
    </row>
    <row r="9" customFormat="false" ht="15" hidden="false" customHeight="false" outlineLevel="0" collapsed="false">
      <c r="A9" s="76" t="s">
        <v>171</v>
      </c>
      <c r="B9" s="78" t="n">
        <f aca="false">B7/(Assumptions!$B$9/1000000)</f>
        <v>0.00268</v>
      </c>
      <c r="C9" s="78" t="n">
        <f aca="false">C7/(Assumptions!$B$9/1000000)</f>
        <v>0.0268</v>
      </c>
      <c r="D9" s="78" t="n">
        <f aca="false">D7/(Assumptions!$B$9/1000000)</f>
        <v>0.268</v>
      </c>
      <c r="E9" s="78" t="n">
        <f aca="false">E7/(Assumptions!$B$9/1000000)</f>
        <v>1.34</v>
      </c>
    </row>
    <row r="10" customFormat="false" ht="15" hidden="false" customHeight="false" outlineLevel="0" collapsed="false">
      <c r="A10" s="76" t="s">
        <v>172</v>
      </c>
      <c r="B10" s="79" t="n">
        <f aca="false">B7/(Assumptions!$B$11/1000000)</f>
        <v>0.001675</v>
      </c>
      <c r="C10" s="79" t="n">
        <f aca="false">C7/(Assumptions!$B$11/1000000)</f>
        <v>0.01675</v>
      </c>
      <c r="D10" s="79" t="n">
        <f aca="false">D7/(Assumptions!$B$11/1000000)</f>
        <v>0.1675</v>
      </c>
      <c r="E10" s="79" t="n">
        <f aca="false">E7/(Assumptions!$B$11/1000000)</f>
        <v>0.8375</v>
      </c>
    </row>
    <row r="12" customFormat="false" ht="15" hidden="false" customHeight="false" outlineLevel="0" collapsed="false">
      <c r="A12" s="35" t="s">
        <v>173</v>
      </c>
      <c r="B12" s="35"/>
      <c r="C12" s="35"/>
      <c r="D12" s="35"/>
      <c r="E12" s="35"/>
    </row>
    <row r="13" customFormat="false" ht="15" hidden="false" customHeight="false" outlineLevel="0" collapsed="false">
      <c r="A13" s="76" t="s">
        <v>174</v>
      </c>
      <c r="B13" s="80" t="n">
        <v>-0.08</v>
      </c>
      <c r="C13" s="81" t="n">
        <v>-0.15</v>
      </c>
      <c r="D13" s="82" t="n">
        <v>-0.25</v>
      </c>
      <c r="E13" s="83" t="n">
        <v>-0.4</v>
      </c>
    </row>
    <row r="14" customFormat="false" ht="15" hidden="false" customHeight="false" outlineLevel="0" collapsed="false">
      <c r="A14" s="76" t="s">
        <v>175</v>
      </c>
      <c r="B14" s="80" t="n">
        <v>-0.05</v>
      </c>
      <c r="C14" s="81" t="n">
        <v>-0.15</v>
      </c>
      <c r="D14" s="82" t="n">
        <v>-0.25</v>
      </c>
      <c r="E14" s="83" t="n">
        <v>-0.35</v>
      </c>
    </row>
    <row r="15" customFormat="false" ht="15" hidden="false" customHeight="false" outlineLevel="0" collapsed="false">
      <c r="A15" s="76" t="s">
        <v>176</v>
      </c>
      <c r="B15" s="80" t="n">
        <v>-0.01</v>
      </c>
      <c r="C15" s="81" t="n">
        <v>-0.05</v>
      </c>
      <c r="D15" s="82" t="n">
        <v>-0.1</v>
      </c>
      <c r="E15" s="83" t="n">
        <v>-0.15</v>
      </c>
    </row>
    <row r="16" customFormat="false" ht="15" hidden="false" customHeight="false" outlineLevel="0" collapsed="false">
      <c r="A16" s="76" t="s">
        <v>177</v>
      </c>
      <c r="B16" s="80" t="n">
        <v>-0.03</v>
      </c>
      <c r="C16" s="81" t="n">
        <v>-0.08</v>
      </c>
      <c r="D16" s="82" t="n">
        <v>-0.15</v>
      </c>
      <c r="E16" s="83" t="n">
        <v>-0.2</v>
      </c>
    </row>
    <row r="18" customFormat="false" ht="15" hidden="false" customHeight="false" outlineLevel="0" collapsed="false">
      <c r="A18" s="35" t="s">
        <v>178</v>
      </c>
      <c r="B18" s="35"/>
      <c r="C18" s="35"/>
      <c r="D18" s="35"/>
      <c r="E18" s="35"/>
    </row>
    <row r="19" customFormat="false" ht="15" hidden="false" customHeight="false" outlineLevel="0" collapsed="false">
      <c r="A19" s="76" t="s">
        <v>179</v>
      </c>
      <c r="B19" s="84" t="n">
        <f aca="false">Assumptions!$B$6</f>
        <v>67000</v>
      </c>
      <c r="C19" s="85" t="n">
        <f aca="false">Assumptions!$B$6</f>
        <v>67000</v>
      </c>
      <c r="D19" s="86" t="n">
        <f aca="false">Assumptions!$B$6</f>
        <v>67000</v>
      </c>
      <c r="E19" s="87" t="n">
        <f aca="false">Assumptions!$B$6</f>
        <v>67000</v>
      </c>
    </row>
    <row r="20" customFormat="false" ht="15" hidden="false" customHeight="false" outlineLevel="0" collapsed="false">
      <c r="A20" s="76" t="s">
        <v>180</v>
      </c>
      <c r="B20" s="88" t="n">
        <f aca="false">B19*(1+B13)</f>
        <v>61640</v>
      </c>
      <c r="C20" s="89" t="n">
        <f aca="false">C19*(1+C13)</f>
        <v>56950</v>
      </c>
      <c r="D20" s="90" t="n">
        <f aca="false">D19*(1+D13)</f>
        <v>50250</v>
      </c>
      <c r="E20" s="91" t="n">
        <f aca="false">E19*(1+E13)</f>
        <v>40200</v>
      </c>
    </row>
    <row r="21" customFormat="false" ht="15" hidden="false" customHeight="false" outlineLevel="0" collapsed="false">
      <c r="A21" s="76" t="s">
        <v>181</v>
      </c>
      <c r="B21" s="88" t="n">
        <f aca="false">B20*(1+B14)</f>
        <v>58558</v>
      </c>
      <c r="C21" s="89" t="n">
        <f aca="false">C20*(1+C14)</f>
        <v>48407.5</v>
      </c>
      <c r="D21" s="90" t="n">
        <f aca="false">D20*(1+D14)</f>
        <v>37687.5</v>
      </c>
      <c r="E21" s="91" t="n">
        <f aca="false">E20*(1+E14)</f>
        <v>26130</v>
      </c>
    </row>
    <row r="22" customFormat="false" ht="15" hidden="false" customHeight="false" outlineLevel="0" collapsed="false">
      <c r="A22" s="76" t="s">
        <v>182</v>
      </c>
      <c r="B22" s="92" t="n">
        <f aca="false">B13</f>
        <v>-0.08</v>
      </c>
      <c r="C22" s="93" t="n">
        <f aca="false">C13</f>
        <v>-0.15</v>
      </c>
      <c r="D22" s="94" t="n">
        <f aca="false">D13</f>
        <v>-0.25</v>
      </c>
      <c r="E22" s="95" t="n">
        <f aca="false">E13</f>
        <v>-0.4</v>
      </c>
    </row>
    <row r="23" customFormat="false" ht="15" hidden="false" customHeight="false" outlineLevel="0" collapsed="false">
      <c r="A23" s="76" t="s">
        <v>183</v>
      </c>
      <c r="B23" s="96" t="n">
        <f aca="false">(B21/Assumptions!$B$6)-1</f>
        <v>-0.126</v>
      </c>
      <c r="C23" s="97" t="n">
        <f aca="false">(C21/Assumptions!$B$6)-1</f>
        <v>-0.2775</v>
      </c>
      <c r="D23" s="98" t="n">
        <f aca="false">(D21/Assumptions!$B$6)-1</f>
        <v>-0.4375</v>
      </c>
      <c r="E23" s="99" t="n">
        <f aca="false">(E21/Assumptions!$B$6)-1</f>
        <v>-0.61</v>
      </c>
    </row>
    <row r="25" customFormat="false" ht="15" hidden="false" customHeight="false" outlineLevel="0" collapsed="false">
      <c r="A25" s="35" t="s">
        <v>184</v>
      </c>
      <c r="B25" s="35"/>
      <c r="C25" s="35"/>
      <c r="D25" s="35"/>
      <c r="E25" s="35"/>
    </row>
    <row r="26" customFormat="false" ht="15" hidden="false" customHeight="false" outlineLevel="0" collapsed="false">
      <c r="A26" s="76" t="s">
        <v>185</v>
      </c>
      <c r="B26" s="80" t="n">
        <v>-0.08</v>
      </c>
      <c r="C26" s="81" t="n">
        <v>-0.2</v>
      </c>
      <c r="D26" s="82" t="n">
        <v>-0.35</v>
      </c>
      <c r="E26" s="83" t="n">
        <v>-0.55</v>
      </c>
    </row>
    <row r="27" customFormat="false" ht="15" hidden="false" customHeight="false" outlineLevel="0" collapsed="false">
      <c r="A27" s="76" t="s">
        <v>186</v>
      </c>
      <c r="B27" s="80" t="n">
        <v>-0.15</v>
      </c>
      <c r="C27" s="81" t="n">
        <v>-0.35</v>
      </c>
      <c r="D27" s="82" t="n">
        <v>-0.6</v>
      </c>
      <c r="E27" s="83" t="n">
        <v>-0.8</v>
      </c>
    </row>
    <row r="28" customFormat="false" ht="15" hidden="false" customHeight="false" outlineLevel="0" collapsed="false">
      <c r="A28" s="76" t="s">
        <v>187</v>
      </c>
      <c r="B28" s="100" t="n">
        <v>1</v>
      </c>
      <c r="C28" s="101" t="n">
        <v>3</v>
      </c>
      <c r="D28" s="102" t="n">
        <v>12</v>
      </c>
      <c r="E28" s="103" t="n">
        <v>36</v>
      </c>
    </row>
  </sheetData>
  <mergeCells count="6">
    <mergeCell ref="A1:E1"/>
    <mergeCell ref="A2:E2"/>
    <mergeCell ref="A5:E5"/>
    <mergeCell ref="A12:E12"/>
    <mergeCell ref="A18:E18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75" t="s">
        <v>188</v>
      </c>
      <c r="B1" s="75"/>
      <c r="C1" s="75"/>
      <c r="D1" s="75"/>
      <c r="E1" s="75"/>
      <c r="F1" s="75"/>
    </row>
    <row r="2" customFormat="false" ht="15" hidden="false" customHeight="false" outlineLevel="0" collapsed="false">
      <c r="A2" s="34" t="s">
        <v>189</v>
      </c>
      <c r="B2" s="34"/>
      <c r="C2" s="34"/>
      <c r="D2" s="34"/>
      <c r="E2" s="34"/>
      <c r="F2" s="34"/>
    </row>
    <row r="4" customFormat="false" ht="15" hidden="false" customHeight="false" outlineLevel="0" collapsed="false">
      <c r="A4" s="35" t="s">
        <v>190</v>
      </c>
      <c r="B4" s="35"/>
      <c r="C4" s="35"/>
      <c r="D4" s="35"/>
      <c r="E4" s="35"/>
      <c r="F4" s="35"/>
    </row>
    <row r="5" customFormat="false" ht="22.35" hidden="false" customHeight="false" outlineLevel="0" collapsed="false">
      <c r="A5" s="6" t="s">
        <v>162</v>
      </c>
      <c r="B5" s="6" t="s">
        <v>191</v>
      </c>
      <c r="C5" s="6" t="s">
        <v>192</v>
      </c>
      <c r="D5" s="6" t="s">
        <v>193</v>
      </c>
      <c r="E5" s="6" t="s">
        <v>194</v>
      </c>
      <c r="F5" s="6" t="s">
        <v>195</v>
      </c>
    </row>
    <row r="6" customFormat="false" ht="15" hidden="false" customHeight="false" outlineLevel="0" collapsed="false">
      <c r="A6" s="76" t="s">
        <v>196</v>
      </c>
      <c r="B6" s="37" t="n">
        <v>250</v>
      </c>
      <c r="C6" s="37" t="n">
        <v>1000</v>
      </c>
      <c r="D6" s="37" t="n">
        <v>2500</v>
      </c>
      <c r="E6" s="37" t="n">
        <v>5000</v>
      </c>
      <c r="F6" s="37" t="n">
        <v>10000</v>
      </c>
    </row>
    <row r="7" customFormat="false" ht="15" hidden="false" customHeight="false" outlineLevel="0" collapsed="false">
      <c r="A7" s="76" t="s">
        <v>197</v>
      </c>
      <c r="B7" s="77" t="n">
        <f aca="false">B6*Assumptions!$B$31</f>
        <v>150</v>
      </c>
      <c r="C7" s="77" t="n">
        <f aca="false">C6*Assumptions!$B$31</f>
        <v>600</v>
      </c>
      <c r="D7" s="77" t="n">
        <f aca="false">D6*Assumptions!$B$31</f>
        <v>1500</v>
      </c>
      <c r="E7" s="77" t="n">
        <f aca="false">E6*Assumptions!$B$31</f>
        <v>3000</v>
      </c>
      <c r="F7" s="77" t="n">
        <f aca="false">F6*Assumptions!$B$31</f>
        <v>6000</v>
      </c>
    </row>
    <row r="8" customFormat="false" ht="15" hidden="false" customHeight="false" outlineLevel="0" collapsed="false">
      <c r="A8" s="76" t="s">
        <v>198</v>
      </c>
      <c r="B8" s="77" t="n">
        <f aca="false">B7*Assumptions!$B$34</f>
        <v>22.5</v>
      </c>
      <c r="C8" s="77" t="n">
        <f aca="false">C7*Assumptions!$B$34</f>
        <v>90</v>
      </c>
      <c r="D8" s="77" t="n">
        <f aca="false">D7*Assumptions!$B$34</f>
        <v>225</v>
      </c>
      <c r="E8" s="77" t="n">
        <f aca="false">E7*Assumptions!$B$34</f>
        <v>450</v>
      </c>
      <c r="F8" s="77" t="n">
        <f aca="false">F7*Assumptions!$B$34</f>
        <v>900</v>
      </c>
    </row>
    <row r="9" customFormat="false" ht="15" hidden="false" customHeight="false" outlineLevel="0" collapsed="false">
      <c r="A9" s="76" t="s">
        <v>199</v>
      </c>
      <c r="B9" s="77" t="n">
        <f aca="false">B7*Assumptions!$B$35</f>
        <v>97.5</v>
      </c>
      <c r="C9" s="77" t="n">
        <f aca="false">C7*Assumptions!$B$35</f>
        <v>390</v>
      </c>
      <c r="D9" s="77" t="n">
        <f aca="false">D7*Assumptions!$B$35</f>
        <v>975</v>
      </c>
      <c r="E9" s="77" t="n">
        <f aca="false">E7*Assumptions!$B$35</f>
        <v>1950</v>
      </c>
      <c r="F9" s="77" t="n">
        <f aca="false">F7*Assumptions!$B$35</f>
        <v>3900</v>
      </c>
    </row>
    <row r="10" customFormat="false" ht="15" hidden="false" customHeight="false" outlineLevel="0" collapsed="false">
      <c r="A10" s="76" t="s">
        <v>200</v>
      </c>
      <c r="B10" s="77" t="n">
        <f aca="false">B7*Assumptions!$B$36</f>
        <v>30</v>
      </c>
      <c r="C10" s="77" t="n">
        <f aca="false">C7*Assumptions!$B$36</f>
        <v>120</v>
      </c>
      <c r="D10" s="77" t="n">
        <f aca="false">D7*Assumptions!$B$36</f>
        <v>300</v>
      </c>
      <c r="E10" s="77" t="n">
        <f aca="false">E7*Assumptions!$B$36</f>
        <v>600</v>
      </c>
      <c r="F10" s="77" t="n">
        <f aca="false">F7*Assumptions!$B$36</f>
        <v>1200</v>
      </c>
    </row>
    <row r="12" customFormat="false" ht="15" hidden="false" customHeight="false" outlineLevel="0" collapsed="false">
      <c r="A12" s="35" t="s">
        <v>201</v>
      </c>
      <c r="B12" s="35"/>
      <c r="C12" s="35"/>
      <c r="D12" s="35"/>
      <c r="E12" s="35"/>
      <c r="F12" s="35"/>
    </row>
    <row r="13" customFormat="false" ht="22.35" hidden="false" customHeight="false" outlineLevel="0" collapsed="false">
      <c r="A13" s="6" t="s">
        <v>202</v>
      </c>
      <c r="B13" s="6" t="s">
        <v>191</v>
      </c>
      <c r="C13" s="6" t="s">
        <v>192</v>
      </c>
      <c r="D13" s="6" t="s">
        <v>193</v>
      </c>
      <c r="E13" s="6" t="s">
        <v>194</v>
      </c>
      <c r="F13" s="6" t="s">
        <v>195</v>
      </c>
    </row>
    <row r="14" customFormat="false" ht="15" hidden="false" customHeight="false" outlineLevel="0" collapsed="false">
      <c r="A14" s="76" t="s">
        <v>203</v>
      </c>
      <c r="B14" s="104" t="n">
        <f aca="false">B8</f>
        <v>22.5</v>
      </c>
      <c r="C14" s="104" t="n">
        <f aca="false">C8</f>
        <v>90</v>
      </c>
      <c r="D14" s="104" t="n">
        <f aca="false">D8</f>
        <v>225</v>
      </c>
      <c r="E14" s="104" t="n">
        <f aca="false">E8</f>
        <v>450</v>
      </c>
      <c r="F14" s="104" t="n">
        <f aca="false">F8</f>
        <v>900</v>
      </c>
    </row>
    <row r="15" customFormat="false" ht="15" hidden="false" customHeight="false" outlineLevel="0" collapsed="false">
      <c r="A15" s="76" t="s">
        <v>204</v>
      </c>
      <c r="B15" s="92" t="n">
        <f aca="false">'Dump Scenarios'!$B$14</f>
        <v>-0.05</v>
      </c>
      <c r="C15" s="92" t="n">
        <f aca="false">'Dump Scenarios'!$B$14</f>
        <v>-0.05</v>
      </c>
      <c r="D15" s="92" t="n">
        <f aca="false">'Dump Scenarios'!$B$14</f>
        <v>-0.05</v>
      </c>
      <c r="E15" s="92" t="n">
        <f aca="false">'Dump Scenarios'!$B$14</f>
        <v>-0.05</v>
      </c>
      <c r="F15" s="92" t="n">
        <f aca="false">'Dump Scenarios'!$B$14</f>
        <v>-0.05</v>
      </c>
    </row>
    <row r="16" customFormat="false" ht="15" hidden="false" customHeight="false" outlineLevel="0" collapsed="false">
      <c r="A16" s="76" t="s">
        <v>205</v>
      </c>
      <c r="B16" s="104" t="n">
        <f aca="false">B14*ABS(B15)</f>
        <v>1.125</v>
      </c>
      <c r="C16" s="104" t="n">
        <f aca="false">C14*ABS(C15)</f>
        <v>4.5</v>
      </c>
      <c r="D16" s="104" t="n">
        <f aca="false">D14*ABS(D15)</f>
        <v>11.25</v>
      </c>
      <c r="E16" s="104" t="n">
        <f aca="false">E14*ABS(E15)</f>
        <v>22.5</v>
      </c>
      <c r="F16" s="104" t="n">
        <f aca="false">F14*ABS(F15)</f>
        <v>45</v>
      </c>
    </row>
    <row r="17" customFormat="false" ht="15" hidden="false" customHeight="false" outlineLevel="0" collapsed="false">
      <c r="A17" s="76" t="s">
        <v>206</v>
      </c>
      <c r="B17" s="104" t="n">
        <f aca="false">B9*ABS('Dump Scenarios'!$B$15)</f>
        <v>0.975</v>
      </c>
      <c r="C17" s="104" t="n">
        <f aca="false">C9*ABS('Dump Scenarios'!$B$15)</f>
        <v>3.9</v>
      </c>
      <c r="D17" s="104" t="n">
        <f aca="false">D9*ABS('Dump Scenarios'!$B$15)</f>
        <v>9.75</v>
      </c>
      <c r="E17" s="104" t="n">
        <f aca="false">E9*ABS('Dump Scenarios'!$B$15)</f>
        <v>19.5</v>
      </c>
      <c r="F17" s="104" t="n">
        <f aca="false">F9*ABS('Dump Scenarios'!$B$15)</f>
        <v>39</v>
      </c>
    </row>
    <row r="18" customFormat="false" ht="15" hidden="false" customHeight="false" outlineLevel="0" collapsed="false">
      <c r="A18" s="76" t="s">
        <v>207</v>
      </c>
      <c r="B18" s="104" t="n">
        <f aca="false">B10*ABS('Dump Scenarios'!$B$16)</f>
        <v>0.9</v>
      </c>
      <c r="C18" s="104" t="n">
        <f aca="false">C10*ABS('Dump Scenarios'!$B$16)</f>
        <v>3.6</v>
      </c>
      <c r="D18" s="104" t="n">
        <f aca="false">D10*ABS('Dump Scenarios'!$B$16)</f>
        <v>9</v>
      </c>
      <c r="E18" s="104" t="n">
        <f aca="false">E10*ABS('Dump Scenarios'!$B$16)</f>
        <v>18</v>
      </c>
      <c r="F18" s="104" t="n">
        <f aca="false">F10*ABS('Dump Scenarios'!$B$16)</f>
        <v>36</v>
      </c>
    </row>
    <row r="19" customFormat="false" ht="15" hidden="false" customHeight="false" outlineLevel="0" collapsed="false">
      <c r="A19" s="105" t="s">
        <v>208</v>
      </c>
      <c r="B19" s="106" t="n">
        <f aca="false">B16+B17+B18</f>
        <v>3</v>
      </c>
      <c r="C19" s="106" t="n">
        <f aca="false">C16+C17+C18</f>
        <v>12</v>
      </c>
      <c r="D19" s="106" t="n">
        <f aca="false">D16+D17+D18</f>
        <v>30</v>
      </c>
      <c r="E19" s="106" t="n">
        <f aca="false">E16+E17+E18</f>
        <v>60</v>
      </c>
      <c r="F19" s="106" t="n">
        <f aca="false">F16+F17+F18</f>
        <v>120</v>
      </c>
    </row>
    <row r="20" customFormat="false" ht="15" hidden="false" customHeight="false" outlineLevel="0" collapsed="false">
      <c r="A20" s="105" t="s">
        <v>209</v>
      </c>
      <c r="B20" s="107" t="n">
        <f aca="false">B19/B6</f>
        <v>0.012</v>
      </c>
      <c r="C20" s="107" t="n">
        <f aca="false">C19/C6</f>
        <v>0.012</v>
      </c>
      <c r="D20" s="107" t="n">
        <f aca="false">D19/D6</f>
        <v>0.012</v>
      </c>
      <c r="E20" s="107" t="n">
        <f aca="false">E19/E6</f>
        <v>0.012</v>
      </c>
      <c r="F20" s="107" t="n">
        <f aca="false">F19/F6</f>
        <v>0.012</v>
      </c>
    </row>
    <row r="21" customFormat="false" ht="15" hidden="false" customHeight="false" outlineLevel="0" collapsed="false">
      <c r="A21" s="76" t="s">
        <v>210</v>
      </c>
      <c r="B21" s="108" t="str">
        <f aca="false">IF(B20&lt;=0.01,"✅ YES — 1% covers it",IF(B20&lt;=0.05,"⚠️ NO — need "&amp;TEXT(B20,"0.0%"),"🔴 NO — need "&amp;TEXT(B20,"0.0%")))</f>
        <v>⚠️ NO — need 1.2%</v>
      </c>
      <c r="C21" s="108" t="str">
        <f aca="false">IF(C20&lt;=0.01,"✅ YES — 1% covers it",IF(C20&lt;=0.05,"⚠️ NO — need "&amp;TEXT(C20,"0.0%"),"🔴 NO — need "&amp;TEXT(C20,"0.0%")))</f>
        <v>⚠️ NO — need 1.2%</v>
      </c>
      <c r="D21" s="108" t="str">
        <f aca="false">IF(D20&lt;=0.01,"✅ YES — 1% covers it",IF(D20&lt;=0.05,"⚠️ NO — need "&amp;TEXT(D20,"0.0%"),"🔴 NO — need "&amp;TEXT(D20,"0.0%")))</f>
        <v>⚠️ NO — need 1.2%</v>
      </c>
      <c r="E21" s="108" t="str">
        <f aca="false">IF(E20&lt;=0.01,"✅ YES — 1% covers it",IF(E20&lt;=0.05,"⚠️ NO — need "&amp;TEXT(E20,"0.0%"),"🔴 NO — need "&amp;TEXT(E20,"0.0%")))</f>
        <v>⚠️ NO — need 1.2%</v>
      </c>
      <c r="F21" s="108" t="str">
        <f aca="false">IF(F20&lt;=0.01,"✅ YES — 1% covers it",IF(F20&lt;=0.05,"⚠️ NO — need "&amp;TEXT(F20,"0.0%"),"🔴 NO — need "&amp;TEXT(F20,"0.0%")))</f>
        <v>⚠️ NO — need 1.2%</v>
      </c>
    </row>
    <row r="23" customFormat="false" ht="15" hidden="false" customHeight="false" outlineLevel="0" collapsed="false">
      <c r="A23" s="35" t="s">
        <v>211</v>
      </c>
      <c r="B23" s="35"/>
      <c r="C23" s="35"/>
      <c r="D23" s="35"/>
      <c r="E23" s="35"/>
      <c r="F23" s="35"/>
    </row>
    <row r="24" customFormat="false" ht="22.35" hidden="false" customHeight="false" outlineLevel="0" collapsed="false">
      <c r="A24" s="6" t="s">
        <v>202</v>
      </c>
      <c r="B24" s="6" t="s">
        <v>191</v>
      </c>
      <c r="C24" s="6" t="s">
        <v>192</v>
      </c>
      <c r="D24" s="6" t="s">
        <v>193</v>
      </c>
      <c r="E24" s="6" t="s">
        <v>194</v>
      </c>
      <c r="F24" s="6" t="s">
        <v>195</v>
      </c>
    </row>
    <row r="25" customFormat="false" ht="15" hidden="false" customHeight="false" outlineLevel="0" collapsed="false">
      <c r="A25" s="76" t="s">
        <v>203</v>
      </c>
      <c r="B25" s="109" t="n">
        <f aca="false">B8</f>
        <v>22.5</v>
      </c>
      <c r="C25" s="109" t="n">
        <f aca="false">C8</f>
        <v>90</v>
      </c>
      <c r="D25" s="109" t="n">
        <f aca="false">D8</f>
        <v>225</v>
      </c>
      <c r="E25" s="109" t="n">
        <f aca="false">E8</f>
        <v>450</v>
      </c>
      <c r="F25" s="109" t="n">
        <f aca="false">F8</f>
        <v>900</v>
      </c>
    </row>
    <row r="26" customFormat="false" ht="15" hidden="false" customHeight="false" outlineLevel="0" collapsed="false">
      <c r="A26" s="76" t="s">
        <v>204</v>
      </c>
      <c r="B26" s="93" t="n">
        <f aca="false">'Dump Scenarios'!$C$14</f>
        <v>-0.15</v>
      </c>
      <c r="C26" s="93" t="n">
        <f aca="false">'Dump Scenarios'!$C$14</f>
        <v>-0.15</v>
      </c>
      <c r="D26" s="93" t="n">
        <f aca="false">'Dump Scenarios'!$C$14</f>
        <v>-0.15</v>
      </c>
      <c r="E26" s="93" t="n">
        <f aca="false">'Dump Scenarios'!$C$14</f>
        <v>-0.15</v>
      </c>
      <c r="F26" s="93" t="n">
        <f aca="false">'Dump Scenarios'!$C$14</f>
        <v>-0.15</v>
      </c>
    </row>
    <row r="27" customFormat="false" ht="15" hidden="false" customHeight="false" outlineLevel="0" collapsed="false">
      <c r="A27" s="76" t="s">
        <v>205</v>
      </c>
      <c r="B27" s="109" t="n">
        <f aca="false">B25*ABS(B26)</f>
        <v>3.375</v>
      </c>
      <c r="C27" s="109" t="n">
        <f aca="false">C25*ABS(C26)</f>
        <v>13.5</v>
      </c>
      <c r="D27" s="109" t="n">
        <f aca="false">D25*ABS(D26)</f>
        <v>33.75</v>
      </c>
      <c r="E27" s="109" t="n">
        <f aca="false">E25*ABS(E26)</f>
        <v>67.5</v>
      </c>
      <c r="F27" s="109" t="n">
        <f aca="false">F25*ABS(F26)</f>
        <v>135</v>
      </c>
    </row>
    <row r="28" customFormat="false" ht="15" hidden="false" customHeight="false" outlineLevel="0" collapsed="false">
      <c r="A28" s="76" t="s">
        <v>206</v>
      </c>
      <c r="B28" s="109" t="n">
        <f aca="false">B9*ABS('Dump Scenarios'!$C$15)</f>
        <v>4.875</v>
      </c>
      <c r="C28" s="109" t="n">
        <f aca="false">C9*ABS('Dump Scenarios'!$C$15)</f>
        <v>19.5</v>
      </c>
      <c r="D28" s="109" t="n">
        <f aca="false">D9*ABS('Dump Scenarios'!$C$15)</f>
        <v>48.75</v>
      </c>
      <c r="E28" s="109" t="n">
        <f aca="false">E9*ABS('Dump Scenarios'!$C$15)</f>
        <v>97.5</v>
      </c>
      <c r="F28" s="109" t="n">
        <f aca="false">F9*ABS('Dump Scenarios'!$C$15)</f>
        <v>195</v>
      </c>
    </row>
    <row r="29" customFormat="false" ht="15" hidden="false" customHeight="false" outlineLevel="0" collapsed="false">
      <c r="A29" s="76" t="s">
        <v>207</v>
      </c>
      <c r="B29" s="109" t="n">
        <f aca="false">B10*ABS('Dump Scenarios'!$C$16)</f>
        <v>2.4</v>
      </c>
      <c r="C29" s="109" t="n">
        <f aca="false">C10*ABS('Dump Scenarios'!$C$16)</f>
        <v>9.6</v>
      </c>
      <c r="D29" s="109" t="n">
        <f aca="false">D10*ABS('Dump Scenarios'!$C$16)</f>
        <v>24</v>
      </c>
      <c r="E29" s="109" t="n">
        <f aca="false">E10*ABS('Dump Scenarios'!$C$16)</f>
        <v>48</v>
      </c>
      <c r="F29" s="109" t="n">
        <f aca="false">F10*ABS('Dump Scenarios'!$C$16)</f>
        <v>96</v>
      </c>
    </row>
    <row r="30" customFormat="false" ht="15" hidden="false" customHeight="false" outlineLevel="0" collapsed="false">
      <c r="A30" s="105" t="s">
        <v>208</v>
      </c>
      <c r="B30" s="110" t="n">
        <f aca="false">B27+B28+B29</f>
        <v>10.65</v>
      </c>
      <c r="C30" s="110" t="n">
        <f aca="false">C27+C28+C29</f>
        <v>42.6</v>
      </c>
      <c r="D30" s="110" t="n">
        <f aca="false">D27+D28+D29</f>
        <v>106.5</v>
      </c>
      <c r="E30" s="110" t="n">
        <f aca="false">E27+E28+E29</f>
        <v>213</v>
      </c>
      <c r="F30" s="110" t="n">
        <f aca="false">F27+F28+F29</f>
        <v>426</v>
      </c>
    </row>
    <row r="31" customFormat="false" ht="15" hidden="false" customHeight="false" outlineLevel="0" collapsed="false">
      <c r="A31" s="105" t="s">
        <v>209</v>
      </c>
      <c r="B31" s="111" t="n">
        <f aca="false">B30/B6</f>
        <v>0.0426</v>
      </c>
      <c r="C31" s="111" t="n">
        <f aca="false">C30/C6</f>
        <v>0.0426</v>
      </c>
      <c r="D31" s="111" t="n">
        <f aca="false">D30/D6</f>
        <v>0.0426</v>
      </c>
      <c r="E31" s="111" t="n">
        <f aca="false">E30/E6</f>
        <v>0.0426</v>
      </c>
      <c r="F31" s="111" t="n">
        <f aca="false">F30/F6</f>
        <v>0.0426</v>
      </c>
    </row>
    <row r="32" customFormat="false" ht="15" hidden="false" customHeight="false" outlineLevel="0" collapsed="false">
      <c r="A32" s="76" t="s">
        <v>210</v>
      </c>
      <c r="B32" s="112" t="str">
        <f aca="false">IF(B31&lt;=0.01,"✅ YES — 1% covers it",IF(B31&lt;=0.05,"⚠️ NO — need "&amp;TEXT(B31,"0.0%"),"🔴 NO — need "&amp;TEXT(B31,"0.0%")))</f>
        <v>⚠️ NO — need 4.3%</v>
      </c>
      <c r="C32" s="112" t="str">
        <f aca="false">IF(C31&lt;=0.01,"✅ YES — 1% covers it",IF(C31&lt;=0.05,"⚠️ NO — need "&amp;TEXT(C31,"0.0%"),"🔴 NO — need "&amp;TEXT(C31,"0.0%")))</f>
        <v>⚠️ NO — need 4.3%</v>
      </c>
      <c r="D32" s="112" t="str">
        <f aca="false">IF(D31&lt;=0.01,"✅ YES — 1% covers it",IF(D31&lt;=0.05,"⚠️ NO — need "&amp;TEXT(D31,"0.0%"),"🔴 NO — need "&amp;TEXT(D31,"0.0%")))</f>
        <v>⚠️ NO — need 4.3%</v>
      </c>
      <c r="E32" s="112" t="str">
        <f aca="false">IF(E31&lt;=0.01,"✅ YES — 1% covers it",IF(E31&lt;=0.05,"⚠️ NO — need "&amp;TEXT(E31,"0.0%"),"🔴 NO — need "&amp;TEXT(E31,"0.0%")))</f>
        <v>⚠️ NO — need 4.3%</v>
      </c>
      <c r="F32" s="112" t="str">
        <f aca="false">IF(F31&lt;=0.01,"✅ YES — 1% covers it",IF(F31&lt;=0.05,"⚠️ NO — need "&amp;TEXT(F31,"0.0%"),"🔴 NO — need "&amp;TEXT(F31,"0.0%")))</f>
        <v>⚠️ NO — need 4.3%</v>
      </c>
    </row>
    <row r="34" customFormat="false" ht="15" hidden="false" customHeight="false" outlineLevel="0" collapsed="false">
      <c r="A34" s="35" t="s">
        <v>212</v>
      </c>
      <c r="B34" s="35"/>
      <c r="C34" s="35"/>
      <c r="D34" s="35"/>
      <c r="E34" s="35"/>
      <c r="F34" s="35"/>
    </row>
    <row r="35" customFormat="false" ht="22.35" hidden="false" customHeight="false" outlineLevel="0" collapsed="false">
      <c r="A35" s="6" t="s">
        <v>202</v>
      </c>
      <c r="B35" s="6" t="s">
        <v>191</v>
      </c>
      <c r="C35" s="6" t="s">
        <v>192</v>
      </c>
      <c r="D35" s="6" t="s">
        <v>193</v>
      </c>
      <c r="E35" s="6" t="s">
        <v>194</v>
      </c>
      <c r="F35" s="6" t="s">
        <v>195</v>
      </c>
    </row>
    <row r="36" customFormat="false" ht="15" hidden="false" customHeight="false" outlineLevel="0" collapsed="false">
      <c r="A36" s="76" t="s">
        <v>203</v>
      </c>
      <c r="B36" s="113" t="n">
        <f aca="false">B8</f>
        <v>22.5</v>
      </c>
      <c r="C36" s="113" t="n">
        <f aca="false">C8</f>
        <v>90</v>
      </c>
      <c r="D36" s="113" t="n">
        <f aca="false">D8</f>
        <v>225</v>
      </c>
      <c r="E36" s="113" t="n">
        <f aca="false">E8</f>
        <v>450</v>
      </c>
      <c r="F36" s="113" t="n">
        <f aca="false">F8</f>
        <v>900</v>
      </c>
    </row>
    <row r="37" customFormat="false" ht="15" hidden="false" customHeight="false" outlineLevel="0" collapsed="false">
      <c r="A37" s="76" t="s">
        <v>204</v>
      </c>
      <c r="B37" s="94" t="n">
        <f aca="false">'Dump Scenarios'!$D$14</f>
        <v>-0.25</v>
      </c>
      <c r="C37" s="94" t="n">
        <f aca="false">'Dump Scenarios'!$D$14</f>
        <v>-0.25</v>
      </c>
      <c r="D37" s="94" t="n">
        <f aca="false">'Dump Scenarios'!$D$14</f>
        <v>-0.25</v>
      </c>
      <c r="E37" s="94" t="n">
        <f aca="false">'Dump Scenarios'!$D$14</f>
        <v>-0.25</v>
      </c>
      <c r="F37" s="94" t="n">
        <f aca="false">'Dump Scenarios'!$D$14</f>
        <v>-0.25</v>
      </c>
    </row>
    <row r="38" customFormat="false" ht="15" hidden="false" customHeight="false" outlineLevel="0" collapsed="false">
      <c r="A38" s="76" t="s">
        <v>205</v>
      </c>
      <c r="B38" s="113" t="n">
        <f aca="false">B36*ABS(B37)</f>
        <v>5.625</v>
      </c>
      <c r="C38" s="113" t="n">
        <f aca="false">C36*ABS(C37)</f>
        <v>22.5</v>
      </c>
      <c r="D38" s="113" t="n">
        <f aca="false">D36*ABS(D37)</f>
        <v>56.25</v>
      </c>
      <c r="E38" s="113" t="n">
        <f aca="false">E36*ABS(E37)</f>
        <v>112.5</v>
      </c>
      <c r="F38" s="113" t="n">
        <f aca="false">F36*ABS(F37)</f>
        <v>225</v>
      </c>
    </row>
    <row r="39" customFormat="false" ht="15" hidden="false" customHeight="false" outlineLevel="0" collapsed="false">
      <c r="A39" s="76" t="s">
        <v>206</v>
      </c>
      <c r="B39" s="113" t="n">
        <f aca="false">B9*ABS('Dump Scenarios'!$D$15)</f>
        <v>9.75</v>
      </c>
      <c r="C39" s="113" t="n">
        <f aca="false">C9*ABS('Dump Scenarios'!$D$15)</f>
        <v>39</v>
      </c>
      <c r="D39" s="113" t="n">
        <f aca="false">D9*ABS('Dump Scenarios'!$D$15)</f>
        <v>97.5</v>
      </c>
      <c r="E39" s="113" t="n">
        <f aca="false">E9*ABS('Dump Scenarios'!$D$15)</f>
        <v>195</v>
      </c>
      <c r="F39" s="113" t="n">
        <f aca="false">F9*ABS('Dump Scenarios'!$D$15)</f>
        <v>390</v>
      </c>
    </row>
    <row r="40" customFormat="false" ht="15" hidden="false" customHeight="false" outlineLevel="0" collapsed="false">
      <c r="A40" s="76" t="s">
        <v>207</v>
      </c>
      <c r="B40" s="113" t="n">
        <f aca="false">B10*ABS('Dump Scenarios'!$D$16)</f>
        <v>4.5</v>
      </c>
      <c r="C40" s="113" t="n">
        <f aca="false">C10*ABS('Dump Scenarios'!$D$16)</f>
        <v>18</v>
      </c>
      <c r="D40" s="113" t="n">
        <f aca="false">D10*ABS('Dump Scenarios'!$D$16)</f>
        <v>45</v>
      </c>
      <c r="E40" s="113" t="n">
        <f aca="false">E10*ABS('Dump Scenarios'!$D$16)</f>
        <v>90</v>
      </c>
      <c r="F40" s="113" t="n">
        <f aca="false">F10*ABS('Dump Scenarios'!$D$16)</f>
        <v>180</v>
      </c>
    </row>
    <row r="41" customFormat="false" ht="15" hidden="false" customHeight="false" outlineLevel="0" collapsed="false">
      <c r="A41" s="105" t="s">
        <v>208</v>
      </c>
      <c r="B41" s="114" t="n">
        <f aca="false">B38+B39+B40</f>
        <v>19.875</v>
      </c>
      <c r="C41" s="114" t="n">
        <f aca="false">C38+C39+C40</f>
        <v>79.5</v>
      </c>
      <c r="D41" s="114" t="n">
        <f aca="false">D38+D39+D40</f>
        <v>198.75</v>
      </c>
      <c r="E41" s="114" t="n">
        <f aca="false">E38+E39+E40</f>
        <v>397.5</v>
      </c>
      <c r="F41" s="114" t="n">
        <f aca="false">F38+F39+F40</f>
        <v>795</v>
      </c>
    </row>
    <row r="42" customFormat="false" ht="15" hidden="false" customHeight="false" outlineLevel="0" collapsed="false">
      <c r="A42" s="105" t="s">
        <v>209</v>
      </c>
      <c r="B42" s="115" t="n">
        <f aca="false">B41/B6</f>
        <v>0.0795</v>
      </c>
      <c r="C42" s="115" t="n">
        <f aca="false">C41/C6</f>
        <v>0.0795</v>
      </c>
      <c r="D42" s="115" t="n">
        <f aca="false">D41/D6</f>
        <v>0.0795</v>
      </c>
      <c r="E42" s="115" t="n">
        <f aca="false">E41/E6</f>
        <v>0.0795</v>
      </c>
      <c r="F42" s="115" t="n">
        <f aca="false">F41/F6</f>
        <v>0.0795</v>
      </c>
    </row>
    <row r="43" customFormat="false" ht="15" hidden="false" customHeight="false" outlineLevel="0" collapsed="false">
      <c r="A43" s="76" t="s">
        <v>210</v>
      </c>
      <c r="B43" s="116" t="str">
        <f aca="false">IF(B42&lt;=0.01,"✅ YES — 1% covers it",IF(B42&lt;=0.05,"⚠️ NO — need "&amp;TEXT(B42,"0.0%"),"🔴 NO — need "&amp;TEXT(B42,"0.0%")))</f>
        <v>🔴 NO — need 8.0%</v>
      </c>
      <c r="C43" s="116" t="str">
        <f aca="false">IF(C42&lt;=0.01,"✅ YES — 1% covers it",IF(C42&lt;=0.05,"⚠️ NO — need "&amp;TEXT(C42,"0.0%"),"🔴 NO — need "&amp;TEXT(C42,"0.0%")))</f>
        <v>🔴 NO — need 8.0%</v>
      </c>
      <c r="D43" s="116" t="str">
        <f aca="false">IF(D42&lt;=0.01,"✅ YES — 1% covers it",IF(D42&lt;=0.05,"⚠️ NO — need "&amp;TEXT(D42,"0.0%"),"🔴 NO — need "&amp;TEXT(D42,"0.0%")))</f>
        <v>🔴 NO — need 8.0%</v>
      </c>
      <c r="E43" s="116" t="str">
        <f aca="false">IF(E42&lt;=0.01,"✅ YES — 1% covers it",IF(E42&lt;=0.05,"⚠️ NO — need "&amp;TEXT(E42,"0.0%"),"🔴 NO — need "&amp;TEXT(E42,"0.0%")))</f>
        <v>🔴 NO — need 8.0%</v>
      </c>
      <c r="F43" s="116" t="str">
        <f aca="false">IF(F42&lt;=0.01,"✅ YES — 1% covers it",IF(F42&lt;=0.05,"⚠️ NO — need "&amp;TEXT(F42,"0.0%"),"🔴 NO — need "&amp;TEXT(F42,"0.0%")))</f>
        <v>🔴 NO — need 8.0%</v>
      </c>
    </row>
    <row r="45" customFormat="false" ht="15" hidden="false" customHeight="false" outlineLevel="0" collapsed="false">
      <c r="A45" s="35" t="s">
        <v>213</v>
      </c>
      <c r="B45" s="35"/>
      <c r="C45" s="35"/>
      <c r="D45" s="35"/>
      <c r="E45" s="35"/>
      <c r="F45" s="35"/>
    </row>
    <row r="46" customFormat="false" ht="22.35" hidden="false" customHeight="false" outlineLevel="0" collapsed="false">
      <c r="A46" s="6" t="s">
        <v>202</v>
      </c>
      <c r="B46" s="6" t="s">
        <v>191</v>
      </c>
      <c r="C46" s="6" t="s">
        <v>192</v>
      </c>
      <c r="D46" s="6" t="s">
        <v>193</v>
      </c>
      <c r="E46" s="6" t="s">
        <v>194</v>
      </c>
      <c r="F46" s="6" t="s">
        <v>195</v>
      </c>
    </row>
    <row r="47" customFormat="false" ht="15" hidden="false" customHeight="false" outlineLevel="0" collapsed="false">
      <c r="A47" s="76" t="s">
        <v>203</v>
      </c>
      <c r="B47" s="117" t="n">
        <f aca="false">B8</f>
        <v>22.5</v>
      </c>
      <c r="C47" s="117" t="n">
        <f aca="false">C8</f>
        <v>90</v>
      </c>
      <c r="D47" s="117" t="n">
        <f aca="false">D8</f>
        <v>225</v>
      </c>
      <c r="E47" s="117" t="n">
        <f aca="false">E8</f>
        <v>450</v>
      </c>
      <c r="F47" s="117" t="n">
        <f aca="false">F8</f>
        <v>900</v>
      </c>
    </row>
    <row r="48" customFormat="false" ht="15" hidden="false" customHeight="false" outlineLevel="0" collapsed="false">
      <c r="A48" s="76" t="s">
        <v>204</v>
      </c>
      <c r="B48" s="95" t="n">
        <f aca="false">'Dump Scenarios'!$E$14</f>
        <v>-0.35</v>
      </c>
      <c r="C48" s="95" t="n">
        <f aca="false">'Dump Scenarios'!$E$14</f>
        <v>-0.35</v>
      </c>
      <c r="D48" s="95" t="n">
        <f aca="false">'Dump Scenarios'!$E$14</f>
        <v>-0.35</v>
      </c>
      <c r="E48" s="95" t="n">
        <f aca="false">'Dump Scenarios'!$E$14</f>
        <v>-0.35</v>
      </c>
      <c r="F48" s="95" t="n">
        <f aca="false">'Dump Scenarios'!$E$14</f>
        <v>-0.35</v>
      </c>
    </row>
    <row r="49" customFormat="false" ht="15" hidden="false" customHeight="false" outlineLevel="0" collapsed="false">
      <c r="A49" s="76" t="s">
        <v>205</v>
      </c>
      <c r="B49" s="117" t="n">
        <f aca="false">B47*ABS(B48)</f>
        <v>7.875</v>
      </c>
      <c r="C49" s="117" t="n">
        <f aca="false">C47*ABS(C48)</f>
        <v>31.5</v>
      </c>
      <c r="D49" s="117" t="n">
        <f aca="false">D47*ABS(D48)</f>
        <v>78.75</v>
      </c>
      <c r="E49" s="117" t="n">
        <f aca="false">E47*ABS(E48)</f>
        <v>157.5</v>
      </c>
      <c r="F49" s="117" t="n">
        <f aca="false">F47*ABS(F48)</f>
        <v>315</v>
      </c>
    </row>
    <row r="50" customFormat="false" ht="15" hidden="false" customHeight="false" outlineLevel="0" collapsed="false">
      <c r="A50" s="76" t="s">
        <v>206</v>
      </c>
      <c r="B50" s="117" t="n">
        <f aca="false">B9*ABS('Dump Scenarios'!$E$15)</f>
        <v>14.625</v>
      </c>
      <c r="C50" s="117" t="n">
        <f aca="false">C9*ABS('Dump Scenarios'!$E$15)</f>
        <v>58.5</v>
      </c>
      <c r="D50" s="117" t="n">
        <f aca="false">D9*ABS('Dump Scenarios'!$E$15)</f>
        <v>146.25</v>
      </c>
      <c r="E50" s="117" t="n">
        <f aca="false">E9*ABS('Dump Scenarios'!$E$15)</f>
        <v>292.5</v>
      </c>
      <c r="F50" s="117" t="n">
        <f aca="false">F9*ABS('Dump Scenarios'!$E$15)</f>
        <v>585</v>
      </c>
    </row>
    <row r="51" customFormat="false" ht="15" hidden="false" customHeight="false" outlineLevel="0" collapsed="false">
      <c r="A51" s="76" t="s">
        <v>207</v>
      </c>
      <c r="B51" s="117" t="n">
        <f aca="false">B10*ABS('Dump Scenarios'!$E$16)</f>
        <v>6</v>
      </c>
      <c r="C51" s="117" t="n">
        <f aca="false">C10*ABS('Dump Scenarios'!$E$16)</f>
        <v>24</v>
      </c>
      <c r="D51" s="117" t="n">
        <f aca="false">D10*ABS('Dump Scenarios'!$E$16)</f>
        <v>60</v>
      </c>
      <c r="E51" s="117" t="n">
        <f aca="false">E10*ABS('Dump Scenarios'!$E$16)</f>
        <v>120</v>
      </c>
      <c r="F51" s="117" t="n">
        <f aca="false">F10*ABS('Dump Scenarios'!$E$16)</f>
        <v>240</v>
      </c>
    </row>
    <row r="52" customFormat="false" ht="15" hidden="false" customHeight="false" outlineLevel="0" collapsed="false">
      <c r="A52" s="105" t="s">
        <v>208</v>
      </c>
      <c r="B52" s="118" t="n">
        <f aca="false">B49+B50+B51</f>
        <v>28.5</v>
      </c>
      <c r="C52" s="118" t="n">
        <f aca="false">C49+C50+C51</f>
        <v>114</v>
      </c>
      <c r="D52" s="118" t="n">
        <f aca="false">D49+D50+D51</f>
        <v>285</v>
      </c>
      <c r="E52" s="118" t="n">
        <f aca="false">E49+E50+E51</f>
        <v>570</v>
      </c>
      <c r="F52" s="118" t="n">
        <f aca="false">F49+F50+F51</f>
        <v>1140</v>
      </c>
    </row>
    <row r="53" customFormat="false" ht="15" hidden="false" customHeight="false" outlineLevel="0" collapsed="false">
      <c r="A53" s="105" t="s">
        <v>209</v>
      </c>
      <c r="B53" s="119" t="n">
        <f aca="false">B52/B6</f>
        <v>0.114</v>
      </c>
      <c r="C53" s="119" t="n">
        <f aca="false">C52/C6</f>
        <v>0.114</v>
      </c>
      <c r="D53" s="119" t="n">
        <f aca="false">D52/D6</f>
        <v>0.114</v>
      </c>
      <c r="E53" s="119" t="n">
        <f aca="false">E52/E6</f>
        <v>0.114</v>
      </c>
      <c r="F53" s="119" t="n">
        <f aca="false">F52/F6</f>
        <v>0.114</v>
      </c>
    </row>
    <row r="54" customFormat="false" ht="15" hidden="false" customHeight="false" outlineLevel="0" collapsed="false">
      <c r="A54" s="76" t="s">
        <v>210</v>
      </c>
      <c r="B54" s="120" t="str">
        <f aca="false">IF(B53&lt;=0.01,"✅ YES — 1% covers it",IF(B53&lt;=0.05,"⚠️ NO — need "&amp;TEXT(B53,"0.0%"),"🔴 NO — need "&amp;TEXT(B53,"0.0%")))</f>
        <v>🔴 NO — need 11.4%</v>
      </c>
      <c r="C54" s="120" t="str">
        <f aca="false">IF(C53&lt;=0.01,"✅ YES — 1% covers it",IF(C53&lt;=0.05,"⚠️ NO — need "&amp;TEXT(C53,"0.0%"),"🔴 NO — need "&amp;TEXT(C53,"0.0%")))</f>
        <v>🔴 NO — need 11.4%</v>
      </c>
      <c r="D54" s="120" t="str">
        <f aca="false">IF(D53&lt;=0.01,"✅ YES — 1% covers it",IF(D53&lt;=0.05,"⚠️ NO — need "&amp;TEXT(D53,"0.0%"),"🔴 NO — need "&amp;TEXT(D53,"0.0%")))</f>
        <v>🔴 NO — need 11.4%</v>
      </c>
      <c r="E54" s="120" t="str">
        <f aca="false">IF(E53&lt;=0.01,"✅ YES — 1% covers it",IF(E53&lt;=0.05,"⚠️ NO — need "&amp;TEXT(E53,"0.0%"),"🔴 NO — need "&amp;TEXT(E53,"0.0%")))</f>
        <v>🔴 NO — need 11.4%</v>
      </c>
      <c r="F54" s="120" t="str">
        <f aca="false">IF(F53&lt;=0.01,"✅ YES — 1% covers it",IF(F53&lt;=0.05,"⚠️ NO — need "&amp;TEXT(F53,"0.0%"),"🔴 NO — need "&amp;TEXT(F53,"0.0%")))</f>
        <v>🔴 NO — need 11.4%</v>
      </c>
    </row>
    <row r="57" customFormat="false" ht="15" hidden="false" customHeight="false" outlineLevel="0" collapsed="false">
      <c r="A57" s="23" t="s">
        <v>214</v>
      </c>
      <c r="B57" s="23"/>
      <c r="C57" s="23"/>
      <c r="D57" s="23"/>
      <c r="E57" s="23"/>
      <c r="F57" s="23"/>
    </row>
    <row r="58" customFormat="false" ht="22.35" hidden="false" customHeight="false" outlineLevel="0" collapsed="false">
      <c r="A58" s="6" t="s">
        <v>5</v>
      </c>
      <c r="B58" s="6" t="s">
        <v>191</v>
      </c>
      <c r="C58" s="6" t="s">
        <v>192</v>
      </c>
      <c r="D58" s="6" t="s">
        <v>193</v>
      </c>
      <c r="E58" s="6" t="s">
        <v>194</v>
      </c>
      <c r="F58" s="6" t="s">
        <v>195</v>
      </c>
    </row>
    <row r="59" customFormat="false" ht="15" hidden="false" customHeight="false" outlineLevel="0" collapsed="false">
      <c r="A59" s="121" t="s">
        <v>215</v>
      </c>
      <c r="B59" s="122" t="n">
        <f aca="false">B20</f>
        <v>0.012</v>
      </c>
      <c r="C59" s="122" t="n">
        <f aca="false">C20</f>
        <v>0.012</v>
      </c>
      <c r="D59" s="122" t="n">
        <f aca="false">D20</f>
        <v>0.012</v>
      </c>
      <c r="E59" s="122" t="n">
        <f aca="false">E20</f>
        <v>0.012</v>
      </c>
      <c r="F59" s="122" t="n">
        <f aca="false">F20</f>
        <v>0.012</v>
      </c>
    </row>
    <row r="60" customFormat="false" ht="15" hidden="false" customHeight="false" outlineLevel="0" collapsed="false">
      <c r="A60" s="123" t="s">
        <v>15</v>
      </c>
      <c r="B60" s="124" t="n">
        <f aca="false">B31</f>
        <v>0.0426</v>
      </c>
      <c r="C60" s="124" t="n">
        <f aca="false">C31</f>
        <v>0.0426</v>
      </c>
      <c r="D60" s="124" t="n">
        <f aca="false">D31</f>
        <v>0.0426</v>
      </c>
      <c r="E60" s="124" t="n">
        <f aca="false">E31</f>
        <v>0.0426</v>
      </c>
      <c r="F60" s="124" t="n">
        <f aca="false">F31</f>
        <v>0.0426</v>
      </c>
    </row>
    <row r="61" customFormat="false" ht="15" hidden="false" customHeight="false" outlineLevel="0" collapsed="false">
      <c r="A61" s="125" t="s">
        <v>20</v>
      </c>
      <c r="B61" s="126" t="n">
        <f aca="false">B42</f>
        <v>0.0795</v>
      </c>
      <c r="C61" s="126" t="n">
        <f aca="false">C42</f>
        <v>0.0795</v>
      </c>
      <c r="D61" s="126" t="n">
        <f aca="false">D42</f>
        <v>0.0795</v>
      </c>
      <c r="E61" s="126" t="n">
        <f aca="false">E42</f>
        <v>0.0795</v>
      </c>
      <c r="F61" s="126" t="n">
        <f aca="false">F42</f>
        <v>0.0795</v>
      </c>
    </row>
    <row r="62" customFormat="false" ht="15" hidden="false" customHeight="false" outlineLevel="0" collapsed="false">
      <c r="A62" s="127" t="s">
        <v>25</v>
      </c>
      <c r="B62" s="128" t="n">
        <f aca="false">B53</f>
        <v>0.114</v>
      </c>
      <c r="C62" s="128" t="n">
        <f aca="false">C53</f>
        <v>0.114</v>
      </c>
      <c r="D62" s="128" t="n">
        <f aca="false">D53</f>
        <v>0.114</v>
      </c>
      <c r="E62" s="128" t="n">
        <f aca="false">E53</f>
        <v>0.114</v>
      </c>
      <c r="F62" s="128" t="n">
        <f aca="false">F53</f>
        <v>0.114</v>
      </c>
    </row>
    <row r="64" customFormat="false" ht="30" hidden="false" customHeight="true" outlineLevel="0" collapsed="false">
      <c r="A64" s="129" t="s">
        <v>216</v>
      </c>
      <c r="B64" s="129"/>
      <c r="C64" s="129"/>
      <c r="D64" s="129"/>
      <c r="E64" s="129"/>
      <c r="F64" s="129"/>
    </row>
  </sheetData>
  <mergeCells count="9">
    <mergeCell ref="A1:F1"/>
    <mergeCell ref="A2:F2"/>
    <mergeCell ref="A4:F4"/>
    <mergeCell ref="A12:F12"/>
    <mergeCell ref="A23:F23"/>
    <mergeCell ref="A34:F34"/>
    <mergeCell ref="A45:F45"/>
    <mergeCell ref="A57:F57"/>
    <mergeCell ref="A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16.15" hidden="false" customHeight="false" outlineLevel="0" collapsed="false">
      <c r="A1" s="75" t="s">
        <v>217</v>
      </c>
      <c r="B1" s="75"/>
      <c r="C1" s="75"/>
      <c r="D1" s="75"/>
    </row>
    <row r="2" customFormat="false" ht="15" hidden="false" customHeight="false" outlineLevel="0" collapsed="false">
      <c r="A2" s="34" t="s">
        <v>218</v>
      </c>
      <c r="B2" s="34"/>
      <c r="C2" s="34"/>
      <c r="D2" s="34"/>
    </row>
    <row r="4" customFormat="false" ht="15" hidden="false" customHeight="false" outlineLevel="0" collapsed="false">
      <c r="A4" s="35" t="s">
        <v>219</v>
      </c>
      <c r="B4" s="35"/>
      <c r="C4" s="35"/>
      <c r="D4" s="35"/>
    </row>
    <row r="5" customFormat="false" ht="15" hidden="false" customHeight="false" outlineLevel="0" collapsed="false">
      <c r="A5" s="6" t="s">
        <v>60</v>
      </c>
      <c r="B5" s="6" t="s">
        <v>61</v>
      </c>
      <c r="C5" s="6" t="s">
        <v>62</v>
      </c>
      <c r="D5" s="6" t="s">
        <v>103</v>
      </c>
    </row>
    <row r="6" customFormat="false" ht="15" hidden="false" customHeight="false" outlineLevel="0" collapsed="false">
      <c r="A6" s="36" t="s">
        <v>220</v>
      </c>
      <c r="B6" s="130" t="n">
        <v>0.005</v>
      </c>
      <c r="C6" s="38" t="s">
        <v>98</v>
      </c>
      <c r="D6" s="39" t="s">
        <v>221</v>
      </c>
    </row>
    <row r="7" customFormat="false" ht="15" hidden="false" customHeight="false" outlineLevel="0" collapsed="false">
      <c r="A7" s="40" t="s">
        <v>222</v>
      </c>
      <c r="B7" s="130" t="n">
        <v>0.001</v>
      </c>
      <c r="C7" s="42" t="s">
        <v>223</v>
      </c>
      <c r="D7" s="43" t="s">
        <v>224</v>
      </c>
    </row>
    <row r="8" customFormat="false" ht="15" hidden="false" customHeight="false" outlineLevel="0" collapsed="false">
      <c r="A8" s="36" t="s">
        <v>225</v>
      </c>
      <c r="B8" s="50" t="n">
        <v>0.1</v>
      </c>
      <c r="C8" s="38" t="s">
        <v>98</v>
      </c>
      <c r="D8" s="39" t="s">
        <v>226</v>
      </c>
    </row>
    <row r="9" customFormat="false" ht="15" hidden="false" customHeight="false" outlineLevel="0" collapsed="false">
      <c r="A9" s="40" t="s">
        <v>227</v>
      </c>
      <c r="B9" s="50" t="n">
        <v>0.05</v>
      </c>
      <c r="C9" s="42" t="s">
        <v>98</v>
      </c>
      <c r="D9" s="43" t="s">
        <v>228</v>
      </c>
    </row>
    <row r="10" customFormat="false" ht="15" hidden="false" customHeight="false" outlineLevel="0" collapsed="false">
      <c r="A10" s="36" t="s">
        <v>229</v>
      </c>
      <c r="B10" s="37" t="n">
        <v>5</v>
      </c>
      <c r="C10" s="38" t="s">
        <v>105</v>
      </c>
      <c r="D10" s="39" t="s">
        <v>230</v>
      </c>
    </row>
    <row r="11" customFormat="false" ht="15" hidden="false" customHeight="false" outlineLevel="0" collapsed="false">
      <c r="A11" s="40" t="s">
        <v>231</v>
      </c>
      <c r="B11" s="50" t="n">
        <v>0.5</v>
      </c>
      <c r="C11" s="42" t="s">
        <v>98</v>
      </c>
      <c r="D11" s="43" t="s">
        <v>232</v>
      </c>
    </row>
    <row r="13" customFormat="false" ht="15" hidden="false" customHeight="false" outlineLevel="0" collapsed="false">
      <c r="A13" s="35" t="s">
        <v>233</v>
      </c>
      <c r="B13" s="35"/>
      <c r="C13" s="35"/>
      <c r="D13" s="35"/>
      <c r="E13" s="35"/>
      <c r="F13" s="35"/>
      <c r="G13" s="35"/>
    </row>
    <row r="14" customFormat="false" ht="15" hidden="false" customHeight="false" outlineLevel="0" collapsed="false">
      <c r="A14" s="6" t="s">
        <v>162</v>
      </c>
      <c r="B14" s="6" t="s">
        <v>234</v>
      </c>
      <c r="C14" s="6" t="s">
        <v>235</v>
      </c>
      <c r="D14" s="6" t="s">
        <v>236</v>
      </c>
      <c r="E14" s="6" t="s">
        <v>237</v>
      </c>
      <c r="F14" s="6" t="s">
        <v>238</v>
      </c>
    </row>
    <row r="15" customFormat="false" ht="15" hidden="false" customHeight="false" outlineLevel="0" collapsed="false">
      <c r="A15" s="76" t="s">
        <v>239</v>
      </c>
      <c r="B15" s="77" t="n">
        <f aca="false">250*$B$9</f>
        <v>12.5</v>
      </c>
      <c r="C15" s="77" t="n">
        <f aca="false">500*$B$9</f>
        <v>25</v>
      </c>
      <c r="D15" s="77" t="n">
        <f aca="false">1000*$B$9</f>
        <v>50</v>
      </c>
      <c r="E15" s="77" t="n">
        <f aca="false">2500*$B$9</f>
        <v>125</v>
      </c>
      <c r="F15" s="77" t="n">
        <f aca="false">5000*$B$9</f>
        <v>250</v>
      </c>
    </row>
    <row r="16" customFormat="false" ht="15" hidden="false" customHeight="false" outlineLevel="0" collapsed="false">
      <c r="A16" s="76" t="s">
        <v>240</v>
      </c>
      <c r="B16" s="77" t="n">
        <f aca="false">250*$B$6*$B$11</f>
        <v>0.625</v>
      </c>
      <c r="C16" s="77" t="n">
        <f aca="false">500*$B$6*$B$11</f>
        <v>1.25</v>
      </c>
      <c r="D16" s="77" t="n">
        <f aca="false">1000*$B$6*$B$11</f>
        <v>2.5</v>
      </c>
      <c r="E16" s="77" t="n">
        <f aca="false">2500*$B$6*$B$11</f>
        <v>6.25</v>
      </c>
      <c r="F16" s="77" t="n">
        <f aca="false">5000*$B$6*$B$11</f>
        <v>12.5</v>
      </c>
    </row>
    <row r="17" customFormat="false" ht="15" hidden="false" customHeight="false" outlineLevel="0" collapsed="false">
      <c r="A17" s="76" t="s">
        <v>241</v>
      </c>
      <c r="B17" s="77" t="n">
        <f aca="false">250*$B$7*$B$11</f>
        <v>0.125</v>
      </c>
      <c r="C17" s="77" t="n">
        <f aca="false">500*$B$7*$B$11</f>
        <v>0.25</v>
      </c>
      <c r="D17" s="77" t="n">
        <f aca="false">1000*$B$7*$B$11</f>
        <v>0.5</v>
      </c>
      <c r="E17" s="77" t="n">
        <f aca="false">2500*$B$7*$B$11</f>
        <v>1.25</v>
      </c>
      <c r="F17" s="77" t="n">
        <f aca="false">5000*$B$7*$B$11</f>
        <v>2.5</v>
      </c>
    </row>
    <row r="18" customFormat="false" ht="15" hidden="false" customHeight="false" outlineLevel="0" collapsed="false">
      <c r="A18" s="76" t="s">
        <v>242</v>
      </c>
      <c r="B18" s="77" t="n">
        <f aca="false">B16+B17</f>
        <v>0.75</v>
      </c>
      <c r="C18" s="77" t="n">
        <f aca="false">C16+C17</f>
        <v>1.5</v>
      </c>
      <c r="D18" s="77" t="n">
        <f aca="false">D16+D17</f>
        <v>3</v>
      </c>
      <c r="E18" s="77" t="n">
        <f aca="false">E16+E17</f>
        <v>7.5</v>
      </c>
      <c r="F18" s="77" t="n">
        <f aca="false">F16+F17</f>
        <v>15</v>
      </c>
    </row>
    <row r="19" customFormat="false" ht="15" hidden="false" customHeight="false" outlineLevel="0" collapsed="false">
      <c r="A19" s="76" t="s">
        <v>229</v>
      </c>
      <c r="B19" s="131" t="n">
        <f aca="false">$B$10</f>
        <v>5</v>
      </c>
      <c r="C19" s="131" t="n">
        <f aca="false">$B$10</f>
        <v>5</v>
      </c>
      <c r="D19" s="131" t="n">
        <f aca="false">$B$10</f>
        <v>5</v>
      </c>
      <c r="E19" s="131" t="n">
        <f aca="false">$B$10</f>
        <v>5</v>
      </c>
      <c r="F19" s="131" t="n">
        <f aca="false">$B$10</f>
        <v>5</v>
      </c>
    </row>
    <row r="20" customFormat="false" ht="15" hidden="false" customHeight="false" outlineLevel="0" collapsed="false">
      <c r="A20" s="76" t="s">
        <v>243</v>
      </c>
      <c r="B20" s="132" t="n">
        <f aca="false">IF(B18=0,999,MAX(0,(B15-B19)/B18))</f>
        <v>10</v>
      </c>
      <c r="C20" s="132" t="n">
        <f aca="false">IF(C18=0,999,MAX(0,(C15-C19)/C18))</f>
        <v>13.3333333333333</v>
      </c>
      <c r="D20" s="133" t="n">
        <f aca="false">IF(D18=0,999,MAX(0,(D15-D19)/D18))</f>
        <v>15</v>
      </c>
      <c r="E20" s="134" t="n">
        <f aca="false">IF(E18=0,999,MAX(0,(E15-E19)/E18))</f>
        <v>16</v>
      </c>
      <c r="F20" s="134" t="n">
        <f aca="false">IF(F18=0,999,MAX(0,(F15-F19)/F18))</f>
        <v>16.3333333333333</v>
      </c>
    </row>
    <row r="21" customFormat="false" ht="15" hidden="false" customHeight="false" outlineLevel="0" collapsed="false">
      <c r="A21" s="135" t="s">
        <v>244</v>
      </c>
      <c r="B21" s="135"/>
      <c r="C21" s="135"/>
      <c r="D21" s="135"/>
      <c r="E21" s="135"/>
      <c r="F21" s="135"/>
    </row>
    <row r="23" customFormat="false" ht="15" hidden="false" customHeight="false" outlineLevel="0" collapsed="false">
      <c r="A23" s="35" t="s">
        <v>245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136" t="s">
        <v>246</v>
      </c>
      <c r="B24" s="137" t="s">
        <v>247</v>
      </c>
      <c r="C24" s="137" t="s">
        <v>248</v>
      </c>
      <c r="D24" s="137" t="s">
        <v>249</v>
      </c>
      <c r="E24" s="137" t="s">
        <v>250</v>
      </c>
      <c r="F24" s="137" t="s">
        <v>251</v>
      </c>
    </row>
    <row r="25" customFormat="false" ht="15" hidden="false" customHeight="false" outlineLevel="0" collapsed="false">
      <c r="A25" s="57" t="s">
        <v>252</v>
      </c>
      <c r="B25" s="138" t="n">
        <v>30</v>
      </c>
      <c r="C25" s="138" t="n">
        <v>16.4</v>
      </c>
      <c r="D25" s="138" t="n">
        <v>11.2</v>
      </c>
      <c r="E25" s="138" t="n">
        <v>8.6</v>
      </c>
      <c r="F25" s="138" t="n">
        <v>5.8</v>
      </c>
    </row>
    <row r="26" customFormat="false" ht="15" hidden="false" customHeight="false" outlineLevel="0" collapsed="false">
      <c r="A26" s="51" t="s">
        <v>253</v>
      </c>
      <c r="B26" s="138" t="n">
        <v>25.7</v>
      </c>
      <c r="C26" s="138" t="n">
        <v>15</v>
      </c>
      <c r="D26" s="138" t="n">
        <v>10.6</v>
      </c>
      <c r="E26" s="138" t="n">
        <v>8.2</v>
      </c>
      <c r="F26" s="138" t="n">
        <v>5.6</v>
      </c>
    </row>
    <row r="27" customFormat="false" ht="15" hidden="false" customHeight="false" outlineLevel="0" collapsed="false">
      <c r="A27" s="57" t="s">
        <v>254</v>
      </c>
      <c r="B27" s="138" t="n">
        <v>22.5</v>
      </c>
      <c r="C27" s="138" t="n">
        <v>13.8</v>
      </c>
      <c r="D27" s="138" t="n">
        <v>10</v>
      </c>
      <c r="E27" s="138" t="n">
        <v>7.8</v>
      </c>
      <c r="F27" s="138" t="n">
        <v>5.5</v>
      </c>
    </row>
    <row r="28" customFormat="false" ht="15" hidden="false" customHeight="false" outlineLevel="0" collapsed="false">
      <c r="A28" s="51" t="s">
        <v>255</v>
      </c>
      <c r="B28" s="138" t="n">
        <v>20</v>
      </c>
      <c r="C28" s="138" t="n">
        <v>12.9</v>
      </c>
      <c r="D28" s="138" t="n">
        <v>9.5</v>
      </c>
      <c r="E28" s="138" t="n">
        <v>7.5</v>
      </c>
      <c r="F28" s="138" t="n">
        <v>5.3</v>
      </c>
    </row>
    <row r="29" customFormat="false" ht="15" hidden="false" customHeight="false" outlineLevel="0" collapsed="false">
      <c r="A29" s="57" t="s">
        <v>256</v>
      </c>
      <c r="B29" s="138" t="n">
        <v>16.4</v>
      </c>
      <c r="C29" s="138" t="n">
        <v>11.2</v>
      </c>
      <c r="D29" s="138" t="n">
        <v>8.6</v>
      </c>
      <c r="E29" s="138" t="n">
        <v>6.9</v>
      </c>
      <c r="F29" s="139" t="n">
        <v>5</v>
      </c>
    </row>
    <row r="30" customFormat="false" ht="15" hidden="false" customHeight="false" outlineLevel="0" collapsed="false">
      <c r="A30" s="135" t="s">
        <v>257</v>
      </c>
      <c r="B30" s="135"/>
      <c r="C30" s="135"/>
      <c r="D30" s="135"/>
      <c r="E30" s="135"/>
      <c r="F30" s="135"/>
      <c r="G30" s="135"/>
    </row>
    <row r="32" customFormat="false" ht="15" hidden="false" customHeight="false" outlineLevel="0" collapsed="false">
      <c r="A32" s="35" t="s">
        <v>258</v>
      </c>
      <c r="B32" s="35"/>
      <c r="C32" s="35"/>
      <c r="D32" s="35"/>
      <c r="E32" s="35"/>
      <c r="F32" s="35"/>
      <c r="G32" s="35"/>
    </row>
    <row r="33" customFormat="false" ht="15" hidden="false" customHeight="true" outlineLevel="0" collapsed="false">
      <c r="A33" s="6" t="s">
        <v>259</v>
      </c>
      <c r="B33" s="6" t="s">
        <v>260</v>
      </c>
      <c r="C33" s="6" t="s">
        <v>261</v>
      </c>
      <c r="D33" s="6" t="s">
        <v>262</v>
      </c>
      <c r="E33" s="6" t="s">
        <v>263</v>
      </c>
      <c r="F33" s="6"/>
    </row>
    <row r="34" customFormat="false" ht="15" hidden="false" customHeight="false" outlineLevel="0" collapsed="false">
      <c r="A34" s="57" t="s">
        <v>264</v>
      </c>
      <c r="B34" s="57" t="s">
        <v>265</v>
      </c>
      <c r="C34" s="57" t="s">
        <v>266</v>
      </c>
      <c r="D34" s="57" t="s">
        <v>267</v>
      </c>
      <c r="E34" s="57" t="s">
        <v>268</v>
      </c>
      <c r="F34" s="57"/>
    </row>
    <row r="35" customFormat="false" ht="15" hidden="false" customHeight="false" outlineLevel="0" collapsed="false">
      <c r="A35" s="51" t="s">
        <v>269</v>
      </c>
      <c r="B35" s="51" t="s">
        <v>270</v>
      </c>
      <c r="C35" s="51" t="s">
        <v>266</v>
      </c>
      <c r="D35" s="51" t="s">
        <v>271</v>
      </c>
      <c r="E35" s="51" t="s">
        <v>272</v>
      </c>
      <c r="F35" s="51"/>
    </row>
    <row r="36" customFormat="false" ht="15" hidden="false" customHeight="false" outlineLevel="0" collapsed="false">
      <c r="A36" s="57" t="s">
        <v>273</v>
      </c>
      <c r="B36" s="57" t="s">
        <v>274</v>
      </c>
      <c r="C36" s="57" t="s">
        <v>266</v>
      </c>
      <c r="D36" s="57" t="s">
        <v>275</v>
      </c>
      <c r="E36" s="57" t="s">
        <v>276</v>
      </c>
      <c r="F36" s="57"/>
    </row>
    <row r="37" customFormat="false" ht="15" hidden="false" customHeight="false" outlineLevel="0" collapsed="false">
      <c r="A37" s="51" t="s">
        <v>277</v>
      </c>
      <c r="B37" s="51" t="s">
        <v>278</v>
      </c>
      <c r="C37" s="51" t="s">
        <v>266</v>
      </c>
      <c r="D37" s="51" t="s">
        <v>279</v>
      </c>
      <c r="E37" s="51" t="s">
        <v>280</v>
      </c>
      <c r="F37" s="51"/>
    </row>
    <row r="38" customFormat="false" ht="15" hidden="false" customHeight="false" outlineLevel="0" collapsed="false">
      <c r="A38" s="11" t="s">
        <v>281</v>
      </c>
      <c r="B38" s="11" t="s">
        <v>282</v>
      </c>
      <c r="C38" s="11" t="s">
        <v>283</v>
      </c>
      <c r="D38" s="11" t="s">
        <v>284</v>
      </c>
      <c r="E38" s="11" t="s">
        <v>285</v>
      </c>
      <c r="F38" s="11"/>
    </row>
  </sheetData>
  <mergeCells count="14">
    <mergeCell ref="A1:D1"/>
    <mergeCell ref="A2:D2"/>
    <mergeCell ref="A4:D4"/>
    <mergeCell ref="A13:G13"/>
    <mergeCell ref="A21:F21"/>
    <mergeCell ref="A23:H23"/>
    <mergeCell ref="A30:G30"/>
    <mergeCell ref="A32:G32"/>
    <mergeCell ref="E33:F33"/>
    <mergeCell ref="E34:F34"/>
    <mergeCell ref="E35:F35"/>
    <mergeCell ref="E36:F36"/>
    <mergeCell ref="E37:F37"/>
    <mergeCell ref="E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2026-04-04T18:02:32Z</dcterms:created>
  <dc:creator>openpyxl</dc:creator>
  <dc:description/>
  <dc:language>en-US</dc:language>
  <cp:lastModifiedBy/>
  <dcterms:modified xsi:type="dcterms:W3CDTF">2026-04-04T18:02:32Z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