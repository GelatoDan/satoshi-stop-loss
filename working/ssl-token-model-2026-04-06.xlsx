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pply &amp; Vesting" sheetId="1" state="visible" r:id="rId3"/>
    <sheet name="2. IF Underwriting" sheetId="2" state="visible" r:id="rId4"/>
    <sheet name="3. Protocol Revenue" sheetId="3" state="visible" r:id="rId5"/>
    <sheet name="4. Kill Switch Scenarios" sheetId="4" state="visible" r:id="rId6"/>
    <sheet name="5. Token Valuation" sheetId="5" state="visible" r:id="rId7"/>
    <sheet name="6. Sensitivit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<sst xmlns="http://schemas.openxmlformats.org/spreadsheetml/2006/main" count="664" uniqueCount="472">
  <si>
    <t xml:space="preserve">SATOSHI STOP LOSS  |  Token Supply &amp; Vesting</t>
  </si>
  <si>
    <t xml:space="preserve">Total Supply: 1,000,000,000 SSL  |  Seed: $1.5M at $15M FDV ($0.015/token)  |  All figures in SSL tokens unless noted</t>
  </si>
  <si>
    <t xml:space="preserve">A.  Token Allocation</t>
  </si>
  <si>
    <t xml:space="preserve">Bucket</t>
  </si>
  <si>
    <t xml:space="preserve">Alloc %</t>
  </si>
  <si>
    <t xml:space="preserve">SSL Tokens</t>
  </si>
  <si>
    <t xml:space="preserve">Cliff (mo)</t>
  </si>
  <si>
    <t xml:space="preserve">Vest (mo)</t>
  </si>
  <si>
    <t xml:space="preserve">TGE Unlock</t>
  </si>
  <si>
    <t xml:space="preserve">TGE Tokens</t>
  </si>
  <si>
    <t xml:space="preserve">Notes</t>
  </si>
  <si>
    <t xml:space="preserve">Team &amp; Founders</t>
  </si>
  <si>
    <t xml:space="preserve">—</t>
  </si>
  <si>
    <t xml:space="preserve">Monthly linear after 12-mo cliff</t>
  </si>
  <si>
    <t xml:space="preserve">Seed Investors</t>
  </si>
  <si>
    <t xml:space="preserve">$0.015/token · $1.5M raised · 2× lead valuation target $30M+</t>
  </si>
  <si>
    <t xml:space="preserve">IF Bootstrap Reserve</t>
  </si>
  <si>
    <t xml:space="preserve">Distributed monthly to early IF underwriters; aligns stakers with protocol growth</t>
  </si>
  <si>
    <t xml:space="preserve">Protocol Treasury</t>
  </si>
  <si>
    <t xml:space="preserve">Governance-controlled; 3-mo cliff then 45-mo linear</t>
  </si>
  <si>
    <t xml:space="preserve">Community &amp; Airdrop</t>
  </si>
  <si>
    <t xml:space="preserve">20% at TGE; 12-mo linear for remainder</t>
  </si>
  <si>
    <t xml:space="preserve">DEX Liquidity</t>
  </si>
  <si>
    <t xml:space="preserve">100% at TGE to seed protocol liquidity pools</t>
  </si>
  <si>
    <t xml:space="preserve">Advisors</t>
  </si>
  <si>
    <t xml:space="preserve">Monthly linear after 6-mo cliff</t>
  </si>
  <si>
    <t xml:space="preserve">Auctioneer Incentives</t>
  </si>
  <si>
    <t xml:space="preserve">Performance-based release over 24 months</t>
  </si>
  <si>
    <t xml:space="preserve">Future Financing Reserve</t>
  </si>
  <si>
    <t xml:space="preserve">Locked; governance supermajority required to release (Series A, ecosystem expansion)</t>
  </si>
  <si>
    <t xml:space="preserve">TOTAL</t>
  </si>
  <si>
    <t xml:space="preserve">TGE float: 6.6% of total supply</t>
  </si>
  <si>
    <t xml:space="preserve">B.  Circulating Supply — Monthly (60-Month View)</t>
  </si>
  <si>
    <t xml:space="preserve">Month</t>
  </si>
  <si>
    <t xml:space="preserve">Year</t>
  </si>
  <si>
    <t xml:space="preserve">Team</t>
  </si>
  <si>
    <t xml:space="preserve">Seed Inv.</t>
  </si>
  <si>
    <t xml:space="preserve">IF Bootstrap</t>
  </si>
  <si>
    <t xml:space="preserve">Treasury</t>
  </si>
  <si>
    <t xml:space="preserve">Community</t>
  </si>
  <si>
    <t xml:space="preserve">DEX Liq.</t>
  </si>
  <si>
    <t xml:space="preserve">Auctioneers</t>
  </si>
  <si>
    <t xml:space="preserve">TOTAL Circ.</t>
  </si>
  <si>
    <t xml:space="preserve">% of Supply</t>
  </si>
  <si>
    <t xml:space="preserve">C.  Key Unlock Events Calendar</t>
  </si>
  <si>
    <t xml:space="preserve">Est. Date</t>
  </si>
  <si>
    <t xml:space="preserve">Event</t>
  </si>
  <si>
    <t xml:space="preserve">Tokens Released</t>
  </si>
  <si>
    <t xml:space="preserve">% Supply</t>
  </si>
  <si>
    <t xml:space="preserve">Jan 2027</t>
  </si>
  <si>
    <t xml:space="preserve">TGE — DEX liquidity + community airdrop tranche</t>
  </si>
  <si>
    <t xml:space="preserve">DEX + Community</t>
  </si>
  <si>
    <t xml:space="preserve">Jun 2027</t>
  </si>
  <si>
    <t xml:space="preserve">Seed investor cliff lifts — first monthly tranche</t>
  </si>
  <si>
    <t xml:space="preserve">Jul 2027</t>
  </si>
  <si>
    <t xml:space="preserve">Advisor cliff lifts — first monthly tranche</t>
  </si>
  <si>
    <t xml:space="preserve">Jan 2028</t>
  </si>
  <si>
    <t xml:space="preserve">Team cliff lifts — first monthly tranche (12-mo cliff done)</t>
  </si>
  <si>
    <t xml:space="preserve">Jan 2029</t>
  </si>
  <si>
    <t xml:space="preserve">Seed investors fully vested (18 months post-cliff)</t>
  </si>
  <si>
    <t xml:space="preserve">Jul 2029</t>
  </si>
  <si>
    <t xml:space="preserve">Advisors fully vested; IF Bootstrap ~62% released</t>
  </si>
  <si>
    <t xml:space="preserve">Multiple</t>
  </si>
  <si>
    <t xml:space="preserve">Jan 2031</t>
  </si>
  <si>
    <t xml:space="preserve">Team fully vested; IF Bootstrap 100% released</t>
  </si>
  <si>
    <t xml:space="preserve">Team + IF Boot.</t>
  </si>
  <si>
    <t xml:space="preserve">Jan 2032</t>
  </si>
  <si>
    <t xml:space="preserve">60-month: 85% circulating; Future Reserve still locked</t>
  </si>
  <si>
    <t xml:space="preserve">All scheduled</t>
  </si>
  <si>
    <t xml:space="preserve">Note: IF Bootstrap Reserve released monthly to active IF underwriters — not a linear vesting schedule. Future Financing Reserve (150M / 15%) requires governance supermajority to release.</t>
  </si>
  <si>
    <t xml:space="preserve">SATOSHI STOP LOSS  |  Insurance Fund Underwriting Model</t>
  </si>
  <si>
    <t xml:space="preserve">IF stakers = underwriters + insurance holders. Yield = cash return from premiums. Protection = enrolled position value. Blue cells = inputs.</t>
  </si>
  <si>
    <t xml:space="preserve">A.  Core Protocol Parameters</t>
  </si>
  <si>
    <t xml:space="preserve">Parameter</t>
  </si>
  <si>
    <t xml:space="preserve">Value</t>
  </si>
  <si>
    <t xml:space="preserve">Unit</t>
  </si>
  <si>
    <t xml:space="preserve">Enrollment Premium Rate</t>
  </si>
  <si>
    <t xml:space="preserve">one-time</t>
  </si>
  <si>
    <t xml:space="preserve">0.5% on vault creation — paid once per enrollment or re-enrollment</t>
  </si>
  <si>
    <t xml:space="preserve">Ongoing Fee Rate (annual)</t>
  </si>
  <si>
    <t xml:space="preserve">%/yr</t>
  </si>
  <si>
    <t xml:space="preserve">10 bps/year on enrolled AUM; accrued and charged quarterly</t>
  </si>
  <si>
    <t xml:space="preserve">AUM Renewal / Re-enroll Rate</t>
  </si>
  <si>
    <t xml:space="preserve">30% of AUM re-enrolls each year (pays enrollment premium again)</t>
  </si>
  <si>
    <t xml:space="preserve">Auctioneer Volume / AUM (on trigger)</t>
  </si>
  <si>
    <t xml:space="preserve">×AUM</t>
  </si>
  <si>
    <t xml:space="preserve">% of AUM clearing through auctioneer network if trigger fires</t>
  </si>
  <si>
    <t xml:space="preserve">SSL Revenue Share — Auctioneer Gross</t>
  </si>
  <si>
    <t xml:space="preserve">%</t>
  </si>
  <si>
    <t xml:space="preserve">Protocol keeps 10% of auctioneer gross spread at trigger</t>
  </si>
  <si>
    <t xml:space="preserve">Annual Trigger Probability</t>
  </si>
  <si>
    <t xml:space="preserve">2% baseline; implies avg ~50-year interval before Satoshi moves</t>
  </si>
  <si>
    <t xml:space="preserve">Staker Share — Enrollment Premiums</t>
  </si>
  <si>
    <t xml:space="preserve">50% to stakers; 50% retained to grow IF capital base</t>
  </si>
  <si>
    <t xml:space="preserve">Staker Share — Ongoing Fees</t>
  </si>
  <si>
    <t xml:space="preserve">Staking Participation Rate</t>
  </si>
  <si>
    <t xml:space="preserve">% circ.</t>
  </si>
  <si>
    <t xml:space="preserve">45% of circulating supply staked; typical DeFi protocol range</t>
  </si>
  <si>
    <t xml:space="preserve">BTC Price (current)</t>
  </si>
  <si>
    <t xml:space="preserve">USD</t>
  </si>
  <si>
    <t xml:space="preserve">Source: Market data April 2026 — update as needed</t>
  </si>
  <si>
    <t xml:space="preserve">SSL Token Price — Seed</t>
  </si>
  <si>
    <t xml:space="preserve">Seed round entry price: $1.5M raised at $15M FDV</t>
  </si>
  <si>
    <t xml:space="preserve">Satoshi Holdings (est.)</t>
  </si>
  <si>
    <t xml:space="preserve">~1.1M BTC at known Patoshi pattern addresses × current BTC price</t>
  </si>
  <si>
    <t xml:space="preserve">Seed FDV</t>
  </si>
  <si>
    <t xml:space="preserve">1B total supply × seed token price</t>
  </si>
  <si>
    <t xml:space="preserve">Capital Raised (Seed)</t>
  </si>
  <si>
    <t xml:space="preserve">10% of supply to seed investors at seed token price</t>
  </si>
  <si>
    <t xml:space="preserve">B.  AUM Growth Scenarios — Enrolled USD Value</t>
  </si>
  <si>
    <t xml:space="preserve">Scenario</t>
  </si>
  <si>
    <t xml:space="preserve">Year 1</t>
  </si>
  <si>
    <t xml:space="preserve">Year 2</t>
  </si>
  <si>
    <t xml:space="preserve">Year 3</t>
  </si>
  <si>
    <t xml:space="preserve">Year 4</t>
  </si>
  <si>
    <t xml:space="preserve">Year 5</t>
  </si>
  <si>
    <t xml:space="preserve">Rationale</t>
  </si>
  <si>
    <t xml:space="preserve">Bear</t>
  </si>
  <si>
    <t xml:space="preserve">Slow adoption; limited chain coverage; no trigger event in period</t>
  </si>
  <si>
    <t xml:space="preserve">Base</t>
  </si>
  <si>
    <t xml:space="preserve">Moderate growth; 2 chains live Y1; ~0.3% of wBTC+cbBTC TAM by Y3</t>
  </si>
  <si>
    <t xml:space="preserve">Bull</t>
  </si>
  <si>
    <t xml:space="preserve">Rapid adoption; major exchange partnerships; trigger near-miss boosts demand</t>
  </si>
  <si>
    <t xml:space="preserve">C.  Annual Staker Cash Yield — by Scenario and Year</t>
  </si>
  <si>
    <t xml:space="preserve">Metric</t>
  </si>
  <si>
    <t xml:space="preserve">  Enrollment Revenue → Stakers</t>
  </si>
  <si>
    <t xml:space="preserve">  Ongoing Fee Revenue → Stakers</t>
  </si>
  <si>
    <t xml:space="preserve">  Auctioneer Rev. → Stakers (EV)*</t>
  </si>
  <si>
    <t xml:space="preserve">  TOTAL Cash Yield to Stakers</t>
  </si>
  <si>
    <t xml:space="preserve">  Staked Capital (USD: staked supply × token price)</t>
  </si>
  <si>
    <t xml:space="preserve">  Cash APY (staker yield / staked capital)</t>
  </si>
  <si>
    <t xml:space="preserve">  Token Price Assumption</t>
  </si>
  <si>
    <t xml:space="preserve">* Auctioneer revenue uses expected value: trigger probability × auctioneer volume × SSL share. Actual revenue = 0 in non-trigger years; potentially large in trigger year.</t>
  </si>
  <si>
    <t xml:space="preserve">D.  Integrated Participant Analysis — Staker Who Also Enrolls</t>
  </si>
  <si>
    <t xml:space="preserve">Key insight: An IF staker who also enrolls their own crypto position receives BOTH cash yield (from staking) AND protection value (as an enrollee). Their net cost of protection may approach zero or turn positive at scale.</t>
  </si>
  <si>
    <t xml:space="preserve">Participant's enrolled position size</t>
  </si>
  <si>
    <t xml:space="preserve">Change this to model different position sizes</t>
  </si>
  <si>
    <t xml:space="preserve">SSL staked (USD value)</t>
  </si>
  <si>
    <t xml:space="preserve">Equal stake and position size is illustrative; can differ</t>
  </si>
  <si>
    <t xml:space="preserve">Annual enrollment cost (amortized)</t>
  </si>
  <si>
    <t xml:space="preserve">USD/yr</t>
  </si>
  <si>
    <t xml:space="preserve">One-time premium / first year; 0 in renewal years (already paid)</t>
  </si>
  <si>
    <t xml:space="preserve">Annual ongoing fee cost</t>
  </si>
  <si>
    <t xml:space="preserve">10 bps/year on enrolled position</t>
  </si>
  <si>
    <t xml:space="preserve">Total protection cost (Year 1)</t>
  </si>
  <si>
    <t xml:space="preserve">Year 1 total; Year 2+ = ongoing fee only ($100 on $100K)</t>
  </si>
  <si>
    <t xml:space="preserve">Staking Yield at AUM Scale (Base Scenario)</t>
  </si>
  <si>
    <t xml:space="preserve">$200M AUM</t>
  </si>
  <si>
    <t xml:space="preserve">$500M AUM</t>
  </si>
  <si>
    <t xml:space="preserve">$1B AUM</t>
  </si>
  <si>
    <t xml:space="preserve">$1.8B AUM</t>
  </si>
  <si>
    <t xml:space="preserve">$3B AUM</t>
  </si>
  <si>
    <t xml:space="preserve">Total protocol revenue to stakers</t>
  </si>
  <si>
    <t xml:space="preserve">Yield on $100K staked (at base APYs)</t>
  </si>
  <si>
    <t xml:space="preserve">NET: staking yield MINUS protection cost (Year 1)</t>
  </si>
  <si>
    <t xml:space="preserve">USD/yr (+ = net earner)</t>
  </si>
  <si>
    <t xml:space="preserve">Interpretation: A participant staking $100K of SSL who also enrolls $100K of wBTC earns staking yield that increasingly offsets (and eventually exceeds) their protection cost as protocol AUM grows. At $1B+ AUM they are net earners — effectively paid to hold protection.</t>
  </si>
  <si>
    <t xml:space="preserve">SATOSHI STOP LOSS  |  Protocol Revenue Projections</t>
  </si>
  <si>
    <t xml:space="preserve">Monthly projections (Base scenario, 36 months). Annual Bear / Base / Bull summary.</t>
  </si>
  <si>
    <t xml:space="preserve">A.  Revenue Assumptions (linked from IF Underwriting model)</t>
  </si>
  <si>
    <t xml:space="preserve">Matches IF Underwriting model input</t>
  </si>
  <si>
    <t xml:space="preserve">Ongoing Fee (annual)</t>
  </si>
  <si>
    <t xml:space="preserve">10 bps/year; accrued monthly</t>
  </si>
  <si>
    <t xml:space="preserve">Annual AUM Renewal Rate</t>
  </si>
  <si>
    <t xml:space="preserve">30% of AUM re-enrolls per year</t>
  </si>
  <si>
    <t xml:space="preserve">Auctioneer Share (IF)</t>
  </si>
  <si>
    <t xml:space="preserve">10% of auctioneer gross spread; trigger events only</t>
  </si>
  <si>
    <t xml:space="preserve">2% expected value basis</t>
  </si>
  <si>
    <t xml:space="preserve">Auctioneer Vol / AUM</t>
  </si>
  <si>
    <t xml:space="preserve">% of AUM through auctioneer if trigger fires</t>
  </si>
  <si>
    <t xml:space="preserve">Staker Revenue Share</t>
  </si>
  <si>
    <t xml:space="preserve">50% to stakers; 50% to IF capital</t>
  </si>
  <si>
    <t xml:space="preserve">B.  Monthly Revenue — Base Scenario (36 Months)</t>
  </si>
  <si>
    <t xml:space="preserve">AUM ($)</t>
  </si>
  <si>
    <t xml:space="preserve">New AUM</t>
  </si>
  <si>
    <t xml:space="preserve">Enrollment Rev</t>
  </si>
  <si>
    <t xml:space="preserve">Ongoing Fee Rev</t>
  </si>
  <si>
    <t xml:space="preserve">Auctioneer Rev*</t>
  </si>
  <si>
    <t xml:space="preserve">Total Revenue</t>
  </si>
  <si>
    <t xml:space="preserve">IF Capital</t>
  </si>
  <si>
    <t xml:space="preserve">Staker Revenue</t>
  </si>
  <si>
    <t xml:space="preserve">Cumul. Revenue</t>
  </si>
  <si>
    <t xml:space="preserve">* Auctioneer revenue uses expected-value basis (2% trigger probability). Actual year-of-trigger revenue would be ~50× higher. IF capital = 50% of total revenue; Staker revenue = 50%.</t>
  </si>
  <si>
    <t xml:space="preserve">C.  Annual Revenue Summary — Bear / Base / Bull</t>
  </si>
  <si>
    <t xml:space="preserve">Y1 Bear</t>
  </si>
  <si>
    <t xml:space="preserve">Y1 Base</t>
  </si>
  <si>
    <t xml:space="preserve">Y1 Bull</t>
  </si>
  <si>
    <t xml:space="preserve">Y2 Bear</t>
  </si>
  <si>
    <t xml:space="preserve">Y2 Base</t>
  </si>
  <si>
    <t xml:space="preserve">Y2 Bull</t>
  </si>
  <si>
    <t xml:space="preserve">Y3 Bear</t>
  </si>
  <si>
    <t xml:space="preserve">Y3 Base</t>
  </si>
  <si>
    <t xml:space="preserve">Y3 Bull</t>
  </si>
  <si>
    <t xml:space="preserve">AUM at Year-End ($)</t>
  </si>
  <si>
    <t xml:space="preserve">Enrollment Rev (new AUM)</t>
  </si>
  <si>
    <t xml:space="preserve">Enrollment Rev (renewals)</t>
  </si>
  <si>
    <t xml:space="preserve">Ongoing Fee Revenue</t>
  </si>
  <si>
    <t xml:space="preserve">Auctioneer Revenue (EV)</t>
  </si>
  <si>
    <t xml:space="preserve">TOTAL Protocol Revenue</t>
  </si>
  <si>
    <t xml:space="preserve">Revenue to Stakers</t>
  </si>
  <si>
    <t xml:space="preserve">Revenue to IF Capital</t>
  </si>
  <si>
    <t xml:space="preserve">SATOSHI STOP LOSS  |  Kill Switch Scenario Analysis</t>
  </si>
  <si>
    <t xml:space="preserve">Three distinct protocol outcomes: No Event (base) | Trigger Event (Satoshi sells) | Graceful Shutdown (Satoshi alive, proof-of-life detected)</t>
  </si>
  <si>
    <t xml:space="preserve">A.  Scenario Definitions</t>
  </si>
  <si>
    <t xml:space="preserve">Dimension</t>
  </si>
  <si>
    <t xml:space="preserve">Trigger Event</t>
  </si>
  <si>
    <t xml:space="preserve">Graceful Shutdown</t>
  </si>
  <si>
    <t xml:space="preserve">No Event (Base)</t>
  </si>
  <si>
    <t xml:space="preserve">Token impact</t>
  </si>
  <si>
    <t xml:space="preserve">SSL token likely crashes with BTC; potential governance vote on protocol future</t>
  </si>
  <si>
    <t xml:space="preserve">SSL loses yield stream; trades at pure governance discount; wind-down treasury distribution</t>
  </si>
  <si>
    <t xml:space="preserve">SSL accrues value with P/S multiples as protocol revenue grows</t>
  </si>
  <si>
    <t xml:space="preserve">B.  IF Staker 5-Year Financial Model — Base Protocol Run (No Event)</t>
  </si>
  <si>
    <t xml:space="preserve">Assumes Base scenario AUM growth. Staker holds $100K of staked SSL + $100K enrolled position. Token price follows Base appreciation path.</t>
  </si>
  <si>
    <t xml:space="preserve">5-Yr Total</t>
  </si>
  <si>
    <t xml:space="preserve">AUM (Base scenario)</t>
  </si>
  <si>
    <t xml:space="preserve">Total staker yield (all stakers)</t>
  </si>
  <si>
    <t xml:space="preserve">Staked capital (all, USD)</t>
  </si>
  <si>
    <t xml:space="preserve">Cash APY</t>
  </si>
  <si>
    <t xml:space="preserve">Yield on $100K staked</t>
  </si>
  <si>
    <t xml:space="preserve">Protection cost (ongoing, $100K)</t>
  </si>
  <si>
    <t xml:space="preserve">NET value (yield − protection)</t>
  </si>
  <si>
    <t xml:space="preserve">Token price (Base)</t>
  </si>
  <si>
    <t xml:space="preserve">Capital appreciation ($100K stk)</t>
  </si>
  <si>
    <t xml:space="preserve">C.  Trigger Event — IF Staker Impact Analysis</t>
  </si>
  <si>
    <t xml:space="preserve">Bear Trigger</t>
  </si>
  <si>
    <t xml:space="preserve">Base Trigger</t>
  </si>
  <si>
    <t xml:space="preserve">Bull Trigger</t>
  </si>
  <si>
    <t xml:space="preserve">Protocol AUM at trigger</t>
  </si>
  <si>
    <t xml:space="preserve">250M</t>
  </si>
  <si>
    <t xml:space="preserve">1,000M</t>
  </si>
  <si>
    <t xml:space="preserve">3,500M</t>
  </si>
  <si>
    <t xml:space="preserve">Assumed to trigger in Year 3</t>
  </si>
  <si>
    <t xml:space="preserve">BTC price drop (immediate)</t>
  </si>
  <si>
    <t xml:space="preserve">30%</t>
  </si>
  <si>
    <t xml:space="preserve">40%</t>
  </si>
  <si>
    <t xml:space="preserve">50%</t>
  </si>
  <si>
    <t xml:space="preserve">Historical shock scenarios; larger shock in bull = more forced selling</t>
  </si>
  <si>
    <t xml:space="preserve">IF capital at trigger</t>
  </si>
  <si>
    <t xml:space="preserve">$750K</t>
  </si>
  <si>
    <t xml:space="preserve">$3.1M</t>
  </si>
  <si>
    <t xml:space="preserve">$10.5M</t>
  </si>
  <si>
    <t xml:space="preserve">Cumulative IF capital accumulated from premiums</t>
  </si>
  <si>
    <t xml:space="preserve">IF deployment (BTC support)</t>
  </si>
  <si>
    <t xml:space="preserve">All IF capital deployed to buy BTC post-trigger</t>
  </si>
  <si>
    <t xml:space="preserve">Residual AUM through DEX</t>
  </si>
  <si>
    <t xml:space="preserve">~$245M</t>
  </si>
  <si>
    <t xml:space="preserve">~$980M</t>
  </si>
  <si>
    <t xml:space="preserve">~$3.4B</t>
  </si>
  <si>
    <t xml:space="preserve">Most positions clear through IF + DEX routing</t>
  </si>
  <si>
    <t xml:space="preserve">Auctioneer clearance</t>
  </si>
  <si>
    <t xml:space="preserve">~$5M</t>
  </si>
  <si>
    <t xml:space="preserve">~$20M</t>
  </si>
  <si>
    <t xml:space="preserve">~$70M</t>
  </si>
  <si>
    <t xml:space="preserve">Residual illiquid positions; auctioneer Dutch auction</t>
  </si>
  <si>
    <t xml:space="preserve">IF depletion ratio</t>
  </si>
  <si>
    <t xml:space="preserve">100%</t>
  </si>
  <si>
    <t xml:space="preserve">IF likely fully depleted on any real trigger; stakers absorb losses</t>
  </si>
  <si>
    <t xml:space="preserve">Staker loss (on $100K stake)</t>
  </si>
  <si>
    <t xml:space="preserve">$100K</t>
  </si>
  <si>
    <t xml:space="preserve">Full staked capital at risk; capped at stake amount</t>
  </si>
  <si>
    <t xml:space="preserve">Enrolled user protection</t>
  </si>
  <si>
    <t xml:space="preserve">Full</t>
  </si>
  <si>
    <t xml:space="preserve">Protocol's purpose: enrolled users exit at supported price regardless</t>
  </si>
  <si>
    <t xml:space="preserve">Pre-trigger cumulative yield</t>
  </si>
  <si>
    <t xml:space="preserve">$5.6K</t>
  </si>
  <si>
    <t xml:space="preserve">$12.1K</t>
  </si>
  <si>
    <t xml:space="preserve">$35K</t>
  </si>
  <si>
    <t xml:space="preserve">Net yield earned by staker prior to trigger event (3-year base)</t>
  </si>
  <si>
    <t xml:space="preserve">Net staker P&amp;L (3yr + trig)</t>
  </si>
  <si>
    <t xml:space="preserve">($94.4K)</t>
  </si>
  <si>
    <t xml:space="preserve">($87.9K)</t>
  </si>
  <si>
    <t xml:space="preserve">($65K)</t>
  </si>
  <si>
    <t xml:space="preserve">Loss minus prior yield; this is the insurance cost of writing cover</t>
  </si>
  <si>
    <t xml:space="preserve">Key point: IF stakers are writing catastrophe insurance. Their loss is bounded (capped at stake). Their role is analogous to Lloyd's Names — taking defined risk for defined premium income. Stakers who also hold enrolled crypto positions have a natural hedge: their staked SSL absorbs losses, but their enrolled position exits safely.</t>
  </si>
  <si>
    <t xml:space="preserve">D.  Graceful Shutdown — Protocol Wind-Down Economics</t>
  </si>
  <si>
    <t xml:space="preserve">Triggered if Satoshi moves ≥100 BTC AND cryptographic proof-of-life is verified within 6 hours. Protocol assumes Satoshi is alive and voluntarily managing holdings. SSL enters graceful wind-down.</t>
  </si>
  <si>
    <t xml:space="preserve">Wind-Down Metric</t>
  </si>
  <si>
    <t xml:space="preserve">Year 1 Shutdown</t>
  </si>
  <si>
    <t xml:space="preserve">Year 2 Shutdown</t>
  </si>
  <si>
    <t xml:space="preserve">Year 3 Shutdown</t>
  </si>
  <si>
    <t xml:space="preserve">Year 5 Shutdown</t>
  </si>
  <si>
    <t xml:space="preserve">Protocol AUM at shutdown</t>
  </si>
  <si>
    <t xml:space="preserve">$200M</t>
  </si>
  <si>
    <t xml:space="preserve">$500M</t>
  </si>
  <si>
    <t xml:space="preserve">$1,000M</t>
  </si>
  <si>
    <t xml:space="preserve">$3,000M</t>
  </si>
  <si>
    <t xml:space="preserve">Base scenario AUM at shutdown year</t>
  </si>
  <si>
    <t xml:space="preserve">IF capital returned to stakers</t>
  </si>
  <si>
    <t xml:space="preserve">$600K</t>
  </si>
  <si>
    <t xml:space="preserve">$1,600K</t>
  </si>
  <si>
    <t xml:space="preserve">$3,100K</t>
  </si>
  <si>
    <t xml:space="preserve">$9,600K</t>
  </si>
  <si>
    <t xml:space="preserve">100% returned; no trigger = no depletion</t>
  </si>
  <si>
    <t xml:space="preserve">Staked capital returned (ex IF)</t>
  </si>
  <si>
    <t xml:space="preserve">Stakers receive staked SSL back; IF capital in full</t>
  </si>
  <si>
    <t xml:space="preserve">Cumulative yield earned (staker)</t>
  </si>
  <si>
    <t xml:space="preserve">$2.8K</t>
  </si>
  <si>
    <t xml:space="preserve">$5.8K</t>
  </si>
  <si>
    <t xml:space="preserve">$8.2K</t>
  </si>
  <si>
    <t xml:space="preserve">$14.5K</t>
  </si>
  <si>
    <t xml:space="preserve">Pre-shutdown yield on $100K staked position</t>
  </si>
  <si>
    <t xml:space="preserve">Treasury governance distribution</t>
  </si>
  <si>
    <t xml:space="preserve">TBD</t>
  </si>
  <si>
    <t xml:space="preserve">Governance vote on treasury allocation at shutdown</t>
  </si>
  <si>
    <t xml:space="preserve">Token value post-shutdown</t>
  </si>
  <si>
    <t xml:space="preserve">Decline</t>
  </si>
  <si>
    <t xml:space="preserve">Loses yield stream; retains historical governance value; trades at significant discount</t>
  </si>
  <si>
    <t xml:space="preserve">Net staker return (ex tok price)</t>
  </si>
  <si>
    <t xml:space="preserve">Cash yield + full capital return; positive in all scenarios</t>
  </si>
  <si>
    <t xml:space="preserve">Enrolled user impact</t>
  </si>
  <si>
    <t xml:space="preserve">None</t>
  </si>
  <si>
    <t xml:space="preserve">Vaults released; users withdraw freely; no forced liquidation</t>
  </si>
  <si>
    <t xml:space="preserve">E.  Scenario Comparison — 3-Year Staker IRR (on $100K staked + $100K enrolled)</t>
  </si>
  <si>
    <t xml:space="preserve">Cash Yield (3yr)</t>
  </si>
  <si>
    <t xml:space="preserve">Capital Return</t>
  </si>
  <si>
    <t xml:space="preserve">Token Appreciation</t>
  </si>
  <si>
    <t xml:space="preserve">Enrolled Position</t>
  </si>
  <si>
    <t xml:space="preserve">Net 3-yr IRR (approx)</t>
  </si>
  <si>
    <t xml:space="preserve">Verdict</t>
  </si>
  <si>
    <t xml:space="preserve">+40x seed</t>
  </si>
  <si>
    <t xml:space="preserve">Protected, held</t>
  </si>
  <si>
    <t xml:space="preserve">~50%+ (token driven)</t>
  </si>
  <si>
    <t xml:space="preserve">Best outcome; protocol proves its value without triggering</t>
  </si>
  <si>
    <t xml:space="preserve">Graceful Shutdown (Y3)</t>
  </si>
  <si>
    <t xml:space="preserve">Significant discount</t>
  </si>
  <si>
    <t xml:space="preserve">Released freely</t>
  </si>
  <si>
    <t xml:space="preserve">Positive but muted</t>
  </si>
  <si>
    <t xml:space="preserve">Good outcome; mission accomplished; Satoshi is alive</t>
  </si>
  <si>
    <t xml:space="preserve">Trigger Event (Y3)</t>
  </si>
  <si>
    <t xml:space="preserve">0%</t>
  </si>
  <si>
    <t xml:space="preserve">Crashes with BTC</t>
  </si>
  <si>
    <t xml:space="preserve">Exits at supported price</t>
  </si>
  <si>
    <t xml:space="preserve">Deep negative (staker)</t>
  </si>
  <si>
    <t xml:space="preserve">Insurance claim paid; staker absorbed the loss they were paid to absorb</t>
  </si>
  <si>
    <t xml:space="preserve">SATOSHI STOP LOSS  |  Token Valuation Framework</t>
  </si>
  <si>
    <t xml:space="preserve">Comparable analysis · FDV scenario table · Seed return multiples. All valuations in USD.</t>
  </si>
  <si>
    <t xml:space="preserve">A.  Comparable Protocol Analysis (April 2026)</t>
  </si>
  <si>
    <t xml:space="preserve">Protocol</t>
  </si>
  <si>
    <t xml:space="preserve">Category</t>
  </si>
  <si>
    <t xml:space="preserve">Mkt Cap</t>
  </si>
  <si>
    <t xml:space="preserve">FDV</t>
  </si>
  <si>
    <t xml:space="preserve">TVL / AUM</t>
  </si>
  <si>
    <t xml:space="preserve">P/TVL</t>
  </si>
  <si>
    <t xml:space="preserve">Rev (est.)</t>
  </si>
  <si>
    <t xml:space="preserve">P/S</t>
  </si>
  <si>
    <t xml:space="preserve">SSL Relevance</t>
  </si>
  <si>
    <t xml:space="preserve">Nexus Mutual (NXM)</t>
  </si>
  <si>
    <t xml:space="preserve">DeFi Insurance</t>
  </si>
  <si>
    <t xml:space="preserve">Closest analog: mutual model, capital staking for yield, claim risk</t>
  </si>
  <si>
    <t xml:space="preserve">GMX</t>
  </si>
  <si>
    <t xml:space="preserve">Perp DEX / Risk</t>
  </si>
  <si>
    <t xml:space="preserve">Revenue-generating; risk underwriting; high staker APY model</t>
  </si>
  <si>
    <t xml:space="preserve">Synthetix (SNX)</t>
  </si>
  <si>
    <t xml:space="preserve">Derivatives</t>
  </si>
  <si>
    <t xml:space="preserve">Staking-based collateral; governance token + staking yield</t>
  </si>
  <si>
    <t xml:space="preserve">UMA Protocol</t>
  </si>
  <si>
    <t xml:space="preserve">Oracle / Risk</t>
  </si>
  <si>
    <t xml:space="preserve">Oracle infrastructure; tail-risk event model</t>
  </si>
  <si>
    <t xml:space="preserve">Risk Harbor</t>
  </si>
  <si>
    <t xml:space="preserve">Direct competitor; smaller scale; cover buying model</t>
  </si>
  <si>
    <t xml:space="preserve">InsurAce</t>
  </si>
  <si>
    <t xml:space="preserve">Multi-chain insurance; closest product analog</t>
  </si>
  <si>
    <t xml:space="preserve">Sherlock</t>
  </si>
  <si>
    <t xml:space="preserve">Audit + Insurance</t>
  </si>
  <si>
    <t xml:space="preserve">Hybrid security + insurance; staker capital model</t>
  </si>
  <si>
    <t xml:space="preserve">Median / Blended</t>
  </si>
  <si>
    <t xml:space="preserve">P/TVL 0.10–0.40×; P/S 4–8× are reasonable SSL comp ranges</t>
  </si>
  <si>
    <t xml:space="preserve">B.  SSL FDV Scenario Table — Token Price &amp; Investor Returns</t>
  </si>
  <si>
    <t xml:space="preserve">FDV Scenario</t>
  </si>
  <si>
    <t xml:space="preserve">Token Price</t>
  </si>
  <si>
    <t xml:space="preserve">Circ Mkt Cap*</t>
  </si>
  <si>
    <t xml:space="preserve">P/S (Base)</t>
  </si>
  <si>
    <t xml:space="preserve">P/TVL (Base)</t>
  </si>
  <si>
    <t xml:space="preserve">Seed Return</t>
  </si>
  <si>
    <t xml:space="preserve">Implied AUM†</t>
  </si>
  <si>
    <t xml:space="preserve">Milestone</t>
  </si>
  <si>
    <t xml:space="preserve">Seed (entry)</t>
  </si>
  <si>
    <t xml:space="preserve">6.6%×$15M=$1M</t>
  </si>
  <si>
    <t xml:space="preserve">1.0×</t>
  </si>
  <si>
    <t xml:space="preserve">$50M</t>
  </si>
  <si>
    <t xml:space="preserve">Today — pre-launch fundraise</t>
  </si>
  <si>
    <t xml:space="preserve">Early market</t>
  </si>
  <si>
    <t xml:space="preserve">~$2M circ</t>
  </si>
  <si>
    <t xml:space="preserve">2.0×</t>
  </si>
  <si>
    <t xml:space="preserve">$100M</t>
  </si>
  <si>
    <t xml:space="preserve">First exchange integration live</t>
  </si>
  <si>
    <t xml:space="preserve">Protocol fit</t>
  </si>
  <si>
    <t xml:space="preserve">~$5M circ</t>
  </si>
  <si>
    <t xml:space="preserve">5.0×</t>
  </si>
  <si>
    <t xml:space="preserve">$250M</t>
  </si>
  <si>
    <t xml:space="preserve">$250M AUM, consistent revenue</t>
  </si>
  <si>
    <t xml:space="preserve">Breakout</t>
  </si>
  <si>
    <t xml:space="preserve">~$10M circ</t>
  </si>
  <si>
    <t xml:space="preserve">10.0×</t>
  </si>
  <si>
    <t xml:space="preserve">Multi-chain live; $500M AUM</t>
  </si>
  <si>
    <t xml:space="preserve">Comparable</t>
  </si>
  <si>
    <t xml:space="preserve">~$21M circ</t>
  </si>
  <si>
    <t xml:space="preserve">20.0×</t>
  </si>
  <si>
    <t xml:space="preserve">$1B</t>
  </si>
  <si>
    <t xml:space="preserve">NXM-scale; $1B AUM; P/S ~5×</t>
  </si>
  <si>
    <t xml:space="preserve">Institutional</t>
  </si>
  <si>
    <t xml:space="preserve">~$52M circ</t>
  </si>
  <si>
    <t xml:space="preserve">50.0×</t>
  </si>
  <si>
    <t xml:space="preserve">$3B</t>
  </si>
  <si>
    <t xml:space="preserve">$3B AUM; exchange-native product</t>
  </si>
  <si>
    <t xml:space="preserve">Category winner</t>
  </si>
  <si>
    <t xml:space="preserve">~$104M circ</t>
  </si>
  <si>
    <t xml:space="preserve">100.0×</t>
  </si>
  <si>
    <t xml:space="preserve">$7B+</t>
  </si>
  <si>
    <t xml:space="preserve">Dominant cross-chain insurance protocol</t>
  </si>
  <si>
    <t xml:space="preserve">* Circulating market cap at each stage based on vesting schedule. † Implied AUM = minimum AUM required for comparable P/S multiple (using ~0.4%/yr revenue rate).</t>
  </si>
  <si>
    <t xml:space="preserve">C.  Seed Investor Return Bridge — $1.5M at $15M FDV</t>
  </si>
  <si>
    <t xml:space="preserve">Exit FDV</t>
  </si>
  <si>
    <t xml:space="preserve">Gross Return</t>
  </si>
  <si>
    <t xml:space="preserve">Net MoM</t>
  </si>
  <si>
    <t xml:space="preserve">Approx. Year</t>
  </si>
  <si>
    <t xml:space="preserve">Required AUM</t>
  </si>
  <si>
    <t xml:space="preserve">Key Condition</t>
  </si>
  <si>
    <t xml:space="preserve">Y1</t>
  </si>
  <si>
    <t xml:space="preserve">First exchange partnership live; protocol on 1 chain</t>
  </si>
  <si>
    <t xml:space="preserve">Y2</t>
  </si>
  <si>
    <t xml:space="preserve">2 chains, 1 major exchange integration, no trigger</t>
  </si>
  <si>
    <t xml:space="preserve">Y2-3</t>
  </si>
  <si>
    <t xml:space="preserve">Protocol-market fit; recurring revenue demonstrated</t>
  </si>
  <si>
    <t xml:space="preserve">Y3</t>
  </si>
  <si>
    <t xml:space="preserve">Industry standard DeFi insurance; NXM-comparable</t>
  </si>
  <si>
    <t xml:space="preserve">Y4</t>
  </si>
  <si>
    <t xml:space="preserve">Multi-chain dominant; institutional IF stakers</t>
  </si>
  <si>
    <t xml:space="preserve">Y5</t>
  </si>
  <si>
    <t xml:space="preserve">Category-defining; exchange-native cross-chain insurance</t>
  </si>
  <si>
    <t xml:space="preserve">SATOSHI STOP LOSS  |  Sensitivity Analysis</t>
  </si>
  <si>
    <t xml:space="preserve">Key variable sensitivities: APY, revenue, and IF solvency. Change blue cells to explore.</t>
  </si>
  <si>
    <t xml:space="preserve">A.  Enrollment Premium Rate vs. AUM — Annual Staker Revenue ($)</t>
  </si>
  <si>
    <t xml:space="preserve">Enroll Premium \ AUM</t>
  </si>
  <si>
    <t xml:space="preserve">$2B</t>
  </si>
  <si>
    <t xml:space="preserve">$5B</t>
  </si>
  <si>
    <t xml:space="preserve">$10B</t>
  </si>
  <si>
    <t xml:space="preserve">0.2% enrollment rate</t>
  </si>
  <si>
    <t xml:space="preserve">0.3% enrollment rate</t>
  </si>
  <si>
    <t xml:space="preserve">0.5% enrollment rate</t>
  </si>
  <si>
    <t xml:space="preserve">0.7% enrollment rate</t>
  </si>
  <si>
    <t xml:space="preserve">1.0% enrollment rate</t>
  </si>
  <si>
    <t xml:space="preserve">1.5% enrollment rate</t>
  </si>
  <si>
    <t xml:space="preserve">B.  Annual Trigger Probability vs. IF Staker Expected Annual Return</t>
  </si>
  <si>
    <t xml:space="preserve">Expected return = Cash APY − (trigger probability × staker loss rate). Shows that higher trigger probability significantly erodes net expected return.</t>
  </si>
  <si>
    <t xml:space="preserve">Trigger Prob. \ Cash APY</t>
  </si>
  <si>
    <t xml:space="preserve">1% Cash APY</t>
  </si>
  <si>
    <t xml:space="preserve">2% Cash APY</t>
  </si>
  <si>
    <t xml:space="preserve">3% Cash APY</t>
  </si>
  <si>
    <t xml:space="preserve">5% Cash APY</t>
  </si>
  <si>
    <t xml:space="preserve">Loss Rate Assumed</t>
  </si>
  <si>
    <t xml:space="preserve">0.5% annual trigger prob.</t>
  </si>
  <si>
    <t xml:space="preserve">80% loss rate on trigger</t>
  </si>
  <si>
    <t xml:space="preserve">1.0% annual trigger prob.</t>
  </si>
  <si>
    <t xml:space="preserve">2.0% annual trigger prob.</t>
  </si>
  <si>
    <t xml:space="preserve">5.0% annual trigger prob.</t>
  </si>
  <si>
    <t xml:space="preserve">10.0% annual trigger prob.</t>
  </si>
  <si>
    <t xml:space="preserve">Red = net negative expected return. Staking is only rational if cash APY &gt; (trigger probability × loss rate). At 2% trigger probability and 80% loss rate, stakers need 1.6%+ cash APY. Base scenario delivers this from ~$200M AUM onwards.</t>
  </si>
  <si>
    <t xml:space="preserve">C.  Staking Participation Rate vs. Cash APY — Base Scenario Year 3 ($1B AUM)</t>
  </si>
  <si>
    <t xml:space="preserve">Staking Participation</t>
  </si>
  <si>
    <t xml:space="preserve">Staked Tokens</t>
  </si>
  <si>
    <t xml:space="preserve">Staked USD Value</t>
  </si>
  <si>
    <t xml:space="preserve">Total Rev. to Stakers</t>
  </si>
  <si>
    <t xml:space="preserve">20% participation</t>
  </si>
  <si>
    <t xml:space="preserve">Higher APY; fewer stakers competing</t>
  </si>
  <si>
    <t xml:space="preserve">30% participation</t>
  </si>
  <si>
    <t xml:space="preserve">40% participation</t>
  </si>
  <si>
    <t xml:space="preserve">50% participation</t>
  </si>
  <si>
    <t xml:space="preserve">Lower APY; more stakers competing for same revenue</t>
  </si>
  <si>
    <t xml:space="preserve">60% participation</t>
  </si>
  <si>
    <t xml:space="preserve">70% participation</t>
  </si>
</sst>
</file>

<file path=xl/styles.xml><?xml version="1.0" encoding="utf-8"?>
<styleSheet xmlns="http://schemas.openxmlformats.org/spreadsheetml/2006/main">
  <numFmts count="11">
    <numFmt numFmtId="164" formatCode="General"/>
    <numFmt numFmtId="165" formatCode="0.0%;\(0.0%\);\-"/>
    <numFmt numFmtId="166" formatCode="#,##0;\(#,##0\);\-"/>
    <numFmt numFmtId="167" formatCode="#,##0"/>
    <numFmt numFmtId="168" formatCode="@"/>
    <numFmt numFmtId="169" formatCode="\$#,##0;&quot;($&quot;#,##0\);\-"/>
    <numFmt numFmtId="170" formatCode="\$0.0000"/>
    <numFmt numFmtId="171" formatCode="0.00%;\(0.00%\);\-"/>
    <numFmt numFmtId="172" formatCode="\$0.00"/>
    <numFmt numFmtId="173" formatCode="0.0\x"/>
    <numFmt numFmtId="174" formatCode="\$0.000"/>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F7931A"/>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i val="true"/>
      <sz val="9"/>
      <color rgb="FF666666"/>
      <name val="Arial"/>
      <family val="0"/>
      <charset val="1"/>
    </font>
    <font>
      <sz val="10"/>
      <color rgb="FF0000FF"/>
      <name val="Arial"/>
      <family val="0"/>
      <charset val="1"/>
    </font>
    <font>
      <i val="true"/>
      <sz val="10"/>
      <color rgb="FF000000"/>
      <name val="Arial"/>
      <family val="0"/>
      <charset val="1"/>
    </font>
    <font>
      <i val="true"/>
      <sz val="9"/>
      <color rgb="FF444444"/>
      <name val="Arial"/>
      <family val="0"/>
      <charset val="1"/>
    </font>
    <font>
      <sz val="9"/>
      <color rgb="FF000000"/>
      <name val="Arial"/>
      <family val="0"/>
      <charset val="1"/>
    </font>
    <font>
      <b val="true"/>
      <sz val="10"/>
      <color rgb="FF0000FF"/>
      <name val="Arial"/>
      <family val="0"/>
      <charset val="1"/>
    </font>
  </fonts>
  <fills count="16">
    <fill>
      <patternFill patternType="none"/>
    </fill>
    <fill>
      <patternFill patternType="gray125"/>
    </fill>
    <fill>
      <patternFill patternType="solid">
        <fgColor rgb="FF1C1C2E"/>
        <bgColor rgb="FF003300"/>
      </patternFill>
    </fill>
    <fill>
      <patternFill patternType="solid">
        <fgColor rgb="FFF7931A"/>
        <bgColor rgb="FFFF6600"/>
      </patternFill>
    </fill>
    <fill>
      <patternFill patternType="solid">
        <fgColor rgb="FFF5F5F5"/>
        <bgColor rgb="FFEBF5FB"/>
      </patternFill>
    </fill>
    <fill>
      <patternFill patternType="solid">
        <fgColor rgb="FFFFFFFF"/>
        <bgColor rgb="FFF5F5F5"/>
      </patternFill>
    </fill>
    <fill>
      <patternFill patternType="solid">
        <fgColor rgb="FFE8E8E8"/>
        <bgColor rgb="FFE8F5E9"/>
      </patternFill>
    </fill>
    <fill>
      <patternFill patternType="solid">
        <fgColor rgb="FFFFF3E0"/>
        <bgColor rgb="FFFFF8E1"/>
      </patternFill>
    </fill>
    <fill>
      <patternFill patternType="solid">
        <fgColor rgb="FFEBF5FB"/>
        <bgColor rgb="FFF5F5F5"/>
      </patternFill>
    </fill>
    <fill>
      <patternFill patternType="solid">
        <fgColor rgb="FFFFEBEE"/>
        <bgColor rgb="FFFFF3E0"/>
      </patternFill>
    </fill>
    <fill>
      <patternFill patternType="solid">
        <fgColor rgb="FFE8F5E9"/>
        <bgColor rgb="FFEBF5FB"/>
      </patternFill>
    </fill>
    <fill>
      <patternFill patternType="solid">
        <fgColor rgb="FFC62828"/>
        <bgColor rgb="FF993366"/>
      </patternFill>
    </fill>
    <fill>
      <patternFill patternType="solid">
        <fgColor rgb="FF1565C0"/>
        <bgColor rgb="FF3366FF"/>
      </patternFill>
    </fill>
    <fill>
      <patternFill patternType="solid">
        <fgColor rgb="FF2E7D32"/>
        <bgColor rgb="FF1B5E20"/>
      </patternFill>
    </fill>
    <fill>
      <patternFill patternType="solid">
        <fgColor rgb="FF1B5E20"/>
        <bgColor rgb="FF2E7D32"/>
      </patternFill>
    </fill>
    <fill>
      <patternFill patternType="solid">
        <fgColor rgb="FFFFF8E1"/>
        <bgColor rgb="FFFFF3E0"/>
      </patternFill>
    </fill>
  </fills>
  <borders count="6">
    <border diagonalUp="false" diagonalDown="false">
      <left/>
      <right/>
      <top/>
      <bottom/>
      <diagonal/>
    </border>
    <border diagonalUp="false" diagonalDown="false">
      <left style="thin">
        <color rgb="FF1C1C2E"/>
      </left>
      <right style="thin">
        <color rgb="FF1C1C2E"/>
      </right>
      <top style="thin">
        <color rgb="FF1C1C2E"/>
      </top>
      <bottom style="thin">
        <color rgb="FF1C1C2E"/>
      </bottom>
      <diagonal/>
    </border>
    <border diagonalUp="false" diagonalDown="false">
      <left style="thin">
        <color rgb="FFF7931A"/>
      </left>
      <right style="thin">
        <color rgb="FFF7931A"/>
      </right>
      <top style="thin">
        <color rgb="FFF7931A"/>
      </top>
      <bottom style="thin">
        <color rgb="FFF7931A"/>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88BBDD"/>
      </left>
      <right style="thin">
        <color rgb="FF88BBDD"/>
      </right>
      <top style="thin">
        <color rgb="FF88BBDD"/>
      </top>
      <bottom style="thin">
        <color rgb="FF88BB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false" indent="0" shrinkToFit="false"/>
      <protection locked="true" hidden="false"/>
    </xf>
    <xf numFmtId="164" fontId="7" fillId="4" borderId="4" xfId="0" applyFont="true" applyBorder="true" applyAlignment="true" applyProtection="false">
      <alignment horizontal="left" vertical="center" textRotation="0" wrapText="false" indent="0" shrinkToFit="false"/>
      <protection locked="true" hidden="false"/>
    </xf>
    <xf numFmtId="165" fontId="7" fillId="4" borderId="4" xfId="0" applyFont="true" applyBorder="true" applyAlignment="true" applyProtection="false">
      <alignment horizontal="right" vertical="center" textRotation="0" wrapText="false" indent="0" shrinkToFit="false"/>
      <protection locked="true" hidden="false"/>
    </xf>
    <xf numFmtId="166" fontId="7" fillId="4" borderId="4" xfId="0" applyFont="true" applyBorder="true" applyAlignment="true" applyProtection="false">
      <alignment horizontal="right" vertical="center" textRotation="0" wrapText="false" indent="0" shrinkToFit="false"/>
      <protection locked="true" hidden="false"/>
    </xf>
    <xf numFmtId="167" fontId="7" fillId="4" borderId="4" xfId="0" applyFont="true" applyBorder="true" applyAlignment="true" applyProtection="false">
      <alignment horizontal="right" vertical="center" textRotation="0" wrapText="false" indent="0" shrinkToFit="false"/>
      <protection locked="true" hidden="false"/>
    </xf>
    <xf numFmtId="168" fontId="7" fillId="4" borderId="4" xfId="0" applyFont="true" applyBorder="true" applyAlignment="true" applyProtection="false">
      <alignment horizontal="right" vertical="center" textRotation="0" wrapText="false" indent="0" shrinkToFit="false"/>
      <protection locked="true" hidden="false"/>
    </xf>
    <xf numFmtId="164" fontId="7" fillId="5" borderId="4" xfId="0" applyFont="true" applyBorder="true" applyAlignment="true" applyProtection="false">
      <alignment horizontal="left" vertical="center" textRotation="0" wrapText="false" indent="0" shrinkToFit="false"/>
      <protection locked="true" hidden="false"/>
    </xf>
    <xf numFmtId="165" fontId="7" fillId="5" borderId="4" xfId="0" applyFont="true" applyBorder="true" applyAlignment="true" applyProtection="false">
      <alignment horizontal="right" vertical="center" textRotation="0" wrapText="false" indent="0" shrinkToFit="false"/>
      <protection locked="true" hidden="false"/>
    </xf>
    <xf numFmtId="166" fontId="7" fillId="5" borderId="4" xfId="0" applyFont="true" applyBorder="true" applyAlignment="true" applyProtection="false">
      <alignment horizontal="right" vertical="center" textRotation="0" wrapText="false" indent="0" shrinkToFit="false"/>
      <protection locked="true" hidden="false"/>
    </xf>
    <xf numFmtId="167" fontId="7" fillId="5" borderId="4" xfId="0" applyFont="true" applyBorder="true" applyAlignment="true" applyProtection="false">
      <alignment horizontal="right" vertical="center" textRotation="0" wrapText="false" indent="0" shrinkToFit="false"/>
      <protection locked="true" hidden="false"/>
    </xf>
    <xf numFmtId="168" fontId="7" fillId="5" borderId="4" xfId="0" applyFont="true" applyBorder="true" applyAlignment="true" applyProtection="false">
      <alignment horizontal="right" vertical="center" textRotation="0" wrapText="false" indent="0" shrinkToFit="false"/>
      <protection locked="true" hidden="false"/>
    </xf>
    <xf numFmtId="164" fontId="8" fillId="4" borderId="4" xfId="0" applyFont="true" applyBorder="true" applyAlignment="true" applyProtection="false">
      <alignment horizontal="left" vertical="center" textRotation="0" wrapText="false" indent="0" shrinkToFit="false"/>
      <protection locked="true" hidden="false"/>
    </xf>
    <xf numFmtId="164" fontId="8" fillId="6" borderId="4" xfId="0" applyFont="true" applyBorder="true" applyAlignment="true" applyProtection="false">
      <alignment horizontal="left" vertical="center" textRotation="0" wrapText="false" indent="0" shrinkToFit="false"/>
      <protection locked="true" hidden="false"/>
    </xf>
    <xf numFmtId="165" fontId="8" fillId="6" borderId="4" xfId="0" applyFont="true" applyBorder="true" applyAlignment="true" applyProtection="false">
      <alignment horizontal="right" vertical="center" textRotation="0" wrapText="false" indent="0" shrinkToFit="false"/>
      <protection locked="true" hidden="false"/>
    </xf>
    <xf numFmtId="166" fontId="8" fillId="6" borderId="4" xfId="0" applyFont="true" applyBorder="true" applyAlignment="true" applyProtection="false">
      <alignment horizontal="right"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7" fillId="6" borderId="4" xfId="0" applyFont="true" applyBorder="tru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8" fillId="7" borderId="2" xfId="0" applyFont="true" applyBorder="true" applyAlignment="true" applyProtection="false">
      <alignment horizontal="right" vertical="center" textRotation="0" wrapText="false" indent="0" shrinkToFit="false"/>
      <protection locked="true" hidden="false"/>
    </xf>
    <xf numFmtId="165" fontId="8" fillId="7" borderId="2" xfId="0" applyFont="tru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8" borderId="4" xfId="0" applyFont="true" applyBorder="true" applyAlignment="true" applyProtection="false">
      <alignment horizontal="left" vertical="center" textRotation="0" wrapText="false" indent="0" shrinkToFit="false"/>
      <protection locked="true" hidden="false"/>
    </xf>
    <xf numFmtId="165" fontId="10" fillId="8" borderId="5" xfId="0" applyFont="true" applyBorder="true" applyAlignment="true" applyProtection="false">
      <alignment horizontal="right" vertical="center" textRotation="0" wrapText="false" indent="0" shrinkToFit="false"/>
      <protection locked="true" hidden="false"/>
    </xf>
    <xf numFmtId="169" fontId="10" fillId="8" borderId="5" xfId="0" applyFont="true" applyBorder="true" applyAlignment="true" applyProtection="false">
      <alignment horizontal="right" vertical="center" textRotation="0" wrapText="false" indent="0" shrinkToFit="false"/>
      <protection locked="true" hidden="false"/>
    </xf>
    <xf numFmtId="170" fontId="10" fillId="8" borderId="5" xfId="0" applyFont="true" applyBorder="true" applyAlignment="true" applyProtection="false">
      <alignment horizontal="right" vertical="center" textRotation="0" wrapText="false" indent="0" shrinkToFit="false"/>
      <protection locked="true" hidden="false"/>
    </xf>
    <xf numFmtId="169" fontId="7" fillId="4" borderId="4" xfId="0" applyFont="true" applyBorder="true" applyAlignment="true" applyProtection="false">
      <alignment horizontal="right" vertical="center" textRotation="0" wrapText="false" indent="0" shrinkToFit="false"/>
      <protection locked="true" hidden="false"/>
    </xf>
    <xf numFmtId="164" fontId="8" fillId="9" borderId="4" xfId="0" applyFont="true" applyBorder="true" applyAlignment="true" applyProtection="false">
      <alignment horizontal="left" vertical="center" textRotation="0" wrapText="false" indent="0" shrinkToFit="false"/>
      <protection locked="true" hidden="false"/>
    </xf>
    <xf numFmtId="164" fontId="7" fillId="9" borderId="4" xfId="0" applyFont="true" applyBorder="true" applyAlignment="true" applyProtection="false">
      <alignment horizontal="left" vertical="center" textRotation="0" wrapText="false" indent="0" shrinkToFit="false"/>
      <protection locked="true" hidden="false"/>
    </xf>
    <xf numFmtId="164" fontId="8" fillId="7" borderId="4" xfId="0" applyFont="true" applyBorder="true" applyAlignment="true" applyProtection="false">
      <alignment horizontal="left" vertical="center" textRotation="0" wrapText="false" indent="0" shrinkToFit="false"/>
      <protection locked="true" hidden="false"/>
    </xf>
    <xf numFmtId="164" fontId="7" fillId="7" borderId="4" xfId="0" applyFont="true" applyBorder="true" applyAlignment="true" applyProtection="false">
      <alignment horizontal="left" vertical="center" textRotation="0" wrapText="false" indent="0" shrinkToFit="false"/>
      <protection locked="true" hidden="false"/>
    </xf>
    <xf numFmtId="164" fontId="8" fillId="10" borderId="4" xfId="0" applyFont="true" applyBorder="true" applyAlignment="true" applyProtection="false">
      <alignment horizontal="left" vertical="center" textRotation="0" wrapText="false" indent="0" shrinkToFit="false"/>
      <protection locked="true" hidden="false"/>
    </xf>
    <xf numFmtId="164" fontId="7" fillId="10" borderId="4" xfId="0" applyFont="true" applyBorder="true" applyAlignment="true" applyProtection="false">
      <alignment horizontal="left" vertical="center" textRotation="0" wrapText="false" indent="0" shrinkToFit="false"/>
      <protection locked="true" hidden="false"/>
    </xf>
    <xf numFmtId="169" fontId="7" fillId="9" borderId="4" xfId="0" applyFont="true" applyBorder="true" applyAlignment="true" applyProtection="false">
      <alignment horizontal="right" vertical="center" textRotation="0" wrapText="false" indent="0" shrinkToFit="false"/>
      <protection locked="true" hidden="false"/>
    </xf>
    <xf numFmtId="169" fontId="8" fillId="9" borderId="4" xfId="0" applyFont="true" applyBorder="true" applyAlignment="true" applyProtection="false">
      <alignment horizontal="right" vertical="center" textRotation="0" wrapText="false" indent="0" shrinkToFit="false"/>
      <protection locked="true" hidden="false"/>
    </xf>
    <xf numFmtId="171" fontId="8" fillId="6" borderId="4" xfId="0" applyFont="true" applyBorder="true" applyAlignment="true" applyProtection="false">
      <alignment horizontal="right" vertical="center" textRotation="0" wrapText="false" indent="0" shrinkToFit="false"/>
      <protection locked="true" hidden="false"/>
    </xf>
    <xf numFmtId="164" fontId="11" fillId="4" borderId="4" xfId="0" applyFont="true" applyBorder="true" applyAlignment="true" applyProtection="false">
      <alignment horizontal="left" vertical="center" textRotation="0" wrapText="false" indent="0" shrinkToFit="false"/>
      <protection locked="true" hidden="false"/>
    </xf>
    <xf numFmtId="172" fontId="10" fillId="8" borderId="5" xfId="0" applyFont="true" applyBorder="true" applyAlignment="true" applyProtection="false">
      <alignment horizontal="right" vertical="center" textRotation="0" wrapText="false" indent="0" shrinkToFit="false"/>
      <protection locked="true" hidden="false"/>
    </xf>
    <xf numFmtId="169" fontId="7" fillId="7" borderId="4" xfId="0" applyFont="true" applyBorder="true" applyAlignment="true" applyProtection="false">
      <alignment horizontal="right" vertical="center" textRotation="0" wrapText="false" indent="0" shrinkToFit="false"/>
      <protection locked="true" hidden="false"/>
    </xf>
    <xf numFmtId="169" fontId="8" fillId="7" borderId="4" xfId="0" applyFont="true" applyBorder="true" applyAlignment="true" applyProtection="false">
      <alignment horizontal="right" vertical="center" textRotation="0" wrapText="false" indent="0" shrinkToFit="false"/>
      <protection locked="true" hidden="false"/>
    </xf>
    <xf numFmtId="169" fontId="7" fillId="10" borderId="4" xfId="0" applyFont="true" applyBorder="true" applyAlignment="true" applyProtection="false">
      <alignment horizontal="right" vertical="center" textRotation="0" wrapText="false" indent="0" shrinkToFit="false"/>
      <protection locked="true" hidden="false"/>
    </xf>
    <xf numFmtId="169" fontId="8" fillId="10" borderId="4"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9" fontId="8" fillId="6" borderId="4" xfId="0" applyFont="true" applyBorder="true" applyAlignment="true" applyProtection="false">
      <alignment horizontal="right"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9" fontId="7" fillId="0" borderId="4" xfId="0" applyFont="true" applyBorder="true" applyAlignment="true" applyProtection="false">
      <alignment horizontal="right" vertical="center" textRotation="0" wrapText="false" indent="0" shrinkToFit="false"/>
      <protection locked="true" hidden="false"/>
    </xf>
    <xf numFmtId="164" fontId="7" fillId="5" borderId="4" xfId="0" applyFont="true" applyBorder="true" applyAlignment="true" applyProtection="false">
      <alignment horizontal="right" vertical="center" textRotation="0" wrapText="false" indent="0" shrinkToFit="false"/>
      <protection locked="true" hidden="false"/>
    </xf>
    <xf numFmtId="169" fontId="7" fillId="5" borderId="4" xfId="0" applyFont="true" applyBorder="true" applyAlignment="true" applyProtection="false">
      <alignment horizontal="right" vertical="center" textRotation="0" wrapText="false" indent="0" shrinkToFit="false"/>
      <protection locked="true" hidden="false"/>
    </xf>
    <xf numFmtId="164" fontId="7" fillId="4" borderId="4" xfId="0" applyFont="true" applyBorder="true" applyAlignment="true" applyProtection="false">
      <alignment horizontal="right" vertical="center" textRotation="0" wrapText="false" indent="0" shrinkToFit="false"/>
      <protection locked="true" hidden="false"/>
    </xf>
    <xf numFmtId="164" fontId="8" fillId="5" borderId="4" xfId="0" applyFont="true" applyBorder="true" applyAlignment="true" applyProtection="false">
      <alignment horizontal="left" vertical="center" textRotation="0" wrapText="false" indent="0" shrinkToFit="false"/>
      <protection locked="true" hidden="false"/>
    </xf>
    <xf numFmtId="169" fontId="8" fillId="5" borderId="4" xfId="0" applyFont="true" applyBorder="true" applyAlignment="true" applyProtection="false">
      <alignment horizontal="right" vertical="center" textRotation="0" wrapText="false" indent="0" shrinkToFit="false"/>
      <protection locked="true" hidden="false"/>
    </xf>
    <xf numFmtId="164" fontId="6" fillId="11" borderId="3" xfId="0" applyFont="true" applyBorder="true" applyAlignment="true" applyProtection="false">
      <alignment horizontal="center" vertical="center" textRotation="0" wrapText="false" indent="0" shrinkToFit="false"/>
      <protection locked="true" hidden="false"/>
    </xf>
    <xf numFmtId="164" fontId="6" fillId="12" borderId="3" xfId="0" applyFont="true" applyBorder="true" applyAlignment="true" applyProtection="false">
      <alignment horizontal="center" vertical="center" textRotation="0" wrapText="false" indent="0" shrinkToFit="false"/>
      <protection locked="true" hidden="false"/>
    </xf>
    <xf numFmtId="164" fontId="6" fillId="13" borderId="3" xfId="0" applyFont="true" applyBorder="true" applyAlignment="true" applyProtection="false">
      <alignment horizontal="center" vertical="center" textRotation="0" wrapText="false" indent="0" shrinkToFit="false"/>
      <protection locked="true" hidden="false"/>
    </xf>
    <xf numFmtId="164" fontId="13" fillId="5" borderId="4" xfId="0" applyFont="true" applyBorder="true" applyAlignment="true" applyProtection="false">
      <alignment horizontal="left" vertical="center" textRotation="0" wrapText="true" indent="0" shrinkToFit="false"/>
      <protection locked="true" hidden="false"/>
    </xf>
    <xf numFmtId="164" fontId="6" fillId="14" borderId="3" xfId="0" applyFont="true" applyBorder="true" applyAlignment="true" applyProtection="false">
      <alignment horizontal="center" vertical="center" textRotation="0" wrapText="false" indent="0" shrinkToFit="false"/>
      <protection locked="true" hidden="false"/>
    </xf>
    <xf numFmtId="171" fontId="8" fillId="5" borderId="4" xfId="0" applyFont="true" applyBorder="true" applyAlignment="true" applyProtection="false">
      <alignment horizontal="right" vertical="center" textRotation="0" wrapText="false" indent="0" shrinkToFit="false"/>
      <protection locked="true" hidden="false"/>
    </xf>
    <xf numFmtId="169" fontId="8" fillId="4" borderId="4" xfId="0" applyFont="true" applyBorder="true" applyAlignment="true" applyProtection="false">
      <alignment horizontal="right" vertical="center" textRotation="0" wrapText="false" indent="0" shrinkToFit="false"/>
      <protection locked="true" hidden="false"/>
    </xf>
    <xf numFmtId="172" fontId="7" fillId="5" borderId="4" xfId="0" applyFont="true" applyBorder="true" applyAlignment="true" applyProtection="false">
      <alignment horizontal="right" vertical="center" textRotation="0" wrapText="false" indent="0" shrinkToFit="false"/>
      <protection locked="true" hidden="false"/>
    </xf>
    <xf numFmtId="164" fontId="7" fillId="9" borderId="4" xfId="0" applyFont="true" applyBorder="true" applyAlignment="true" applyProtection="false">
      <alignment horizontal="right" vertical="center" textRotation="0" wrapText="false" indent="0" shrinkToFit="false"/>
      <protection locked="true" hidden="false"/>
    </xf>
    <xf numFmtId="164" fontId="8" fillId="9" borderId="4" xfId="0" applyFont="true" applyBorder="true" applyAlignment="true" applyProtection="false">
      <alignment horizontal="right" vertical="center" textRotation="0" wrapText="false" indent="0" shrinkToFit="false"/>
      <protection locked="true" hidden="false"/>
    </xf>
    <xf numFmtId="164" fontId="7" fillId="6" borderId="4" xfId="0" applyFont="true" applyBorder="true" applyAlignment="true" applyProtection="false">
      <alignment horizontal="right" vertical="center" textRotation="0" wrapText="false" indent="0" shrinkToFit="false"/>
      <protection locked="true" hidden="false"/>
    </xf>
    <xf numFmtId="164" fontId="7" fillId="10" borderId="4" xfId="0" applyFont="true" applyBorder="true" applyAlignment="true" applyProtection="false">
      <alignment horizontal="right" vertical="center" textRotation="0" wrapText="false" indent="0" shrinkToFit="false"/>
      <protection locked="true" hidden="false"/>
    </xf>
    <xf numFmtId="164" fontId="11" fillId="10" borderId="4" xfId="0" applyFont="true" applyBorder="true" applyAlignment="true" applyProtection="false">
      <alignment horizontal="left" vertical="center" textRotation="0" wrapText="false" indent="0" shrinkToFit="false"/>
      <protection locked="true" hidden="false"/>
    </xf>
    <xf numFmtId="164" fontId="8" fillId="15" borderId="4" xfId="0" applyFont="true" applyBorder="true" applyAlignment="true" applyProtection="false">
      <alignment horizontal="left" vertical="center" textRotation="0" wrapText="false" indent="0" shrinkToFit="false"/>
      <protection locked="true" hidden="false"/>
    </xf>
    <xf numFmtId="164" fontId="7" fillId="15" borderId="4" xfId="0" applyFont="true" applyBorder="true" applyAlignment="true" applyProtection="false">
      <alignment horizontal="right" vertical="center" textRotation="0" wrapText="false" indent="0" shrinkToFit="false"/>
      <protection locked="true" hidden="false"/>
    </xf>
    <xf numFmtId="164" fontId="11" fillId="15" borderId="4" xfId="0" applyFont="true" applyBorder="true" applyAlignment="true" applyProtection="false">
      <alignment horizontal="left" vertical="center" textRotation="0" wrapText="false" indent="0" shrinkToFit="false"/>
      <protection locked="true" hidden="false"/>
    </xf>
    <xf numFmtId="164" fontId="11" fillId="9" borderId="4" xfId="0" applyFont="true" applyBorder="true" applyAlignment="true" applyProtection="false">
      <alignment horizontal="left" vertical="center" textRotation="0" wrapText="false" indent="0" shrinkToFit="false"/>
      <protection locked="true" hidden="false"/>
    </xf>
    <xf numFmtId="173" fontId="7" fillId="4" borderId="4" xfId="0" applyFont="true" applyBorder="true" applyAlignment="true" applyProtection="false">
      <alignment horizontal="right" vertical="center" textRotation="0" wrapText="false" indent="0" shrinkToFit="false"/>
      <protection locked="true" hidden="false"/>
    </xf>
    <xf numFmtId="173" fontId="7" fillId="5" borderId="4" xfId="0" applyFont="true" applyBorder="true" applyAlignment="true" applyProtection="false">
      <alignment horizontal="right" vertical="center" textRotation="0" wrapText="false" indent="0" shrinkToFit="false"/>
      <protection locked="true" hidden="false"/>
    </xf>
    <xf numFmtId="173" fontId="8" fillId="6" borderId="4" xfId="0" applyFont="true" applyBorder="true" applyAlignment="true" applyProtection="false">
      <alignment horizontal="right" vertical="center" textRotation="0" wrapText="false" indent="0" shrinkToFit="false"/>
      <protection locked="true" hidden="false"/>
    </xf>
    <xf numFmtId="174" fontId="14" fillId="7" borderId="4" xfId="0" applyFont="true" applyBorder="true" applyAlignment="true" applyProtection="false">
      <alignment horizontal="right" vertical="center" textRotation="0" wrapText="false" indent="0" shrinkToFit="false"/>
      <protection locked="true" hidden="false"/>
    </xf>
    <xf numFmtId="173" fontId="8" fillId="7" borderId="4" xfId="0" applyFont="true" applyBorder="true" applyAlignment="true" applyProtection="false">
      <alignment horizontal="right" vertical="center" textRotation="0" wrapText="false" indent="0" shrinkToFit="false"/>
      <protection locked="true" hidden="false"/>
    </xf>
    <xf numFmtId="174" fontId="7" fillId="5" borderId="4" xfId="0" applyFont="true" applyBorder="true" applyAlignment="true" applyProtection="false">
      <alignment horizontal="right" vertical="center" textRotation="0" wrapText="false" indent="0" shrinkToFit="false"/>
      <protection locked="true" hidden="false"/>
    </xf>
    <xf numFmtId="174" fontId="7" fillId="4" borderId="4" xfId="0" applyFont="true" applyBorder="true" applyAlignment="true" applyProtection="false">
      <alignment horizontal="right" vertical="center" textRotation="0" wrapText="false" indent="0" shrinkToFit="false"/>
      <protection locked="true" hidden="false"/>
    </xf>
    <xf numFmtId="171" fontId="7" fillId="5" borderId="4" xfId="0" applyFont="true" applyBorder="true" applyAlignment="true" applyProtection="false">
      <alignment horizontal="right" vertical="center" textRotation="0" wrapText="false" indent="0" shrinkToFit="false"/>
      <protection locked="true" hidden="false"/>
    </xf>
    <xf numFmtId="171" fontId="7" fillId="10" borderId="4" xfId="0" applyFont="true" applyBorder="true" applyAlignment="true" applyProtection="false">
      <alignment horizontal="right" vertical="center" textRotation="0" wrapText="false" indent="0" shrinkToFit="false"/>
      <protection locked="true" hidden="false"/>
    </xf>
    <xf numFmtId="171" fontId="8" fillId="9" borderId="4" xfId="0" applyFont="true" applyBorder="true" applyAlignment="true" applyProtection="false">
      <alignment horizontal="right" vertical="center" textRotation="0" wrapText="false" indent="0" shrinkToFit="false"/>
      <protection locked="true" hidden="false"/>
    </xf>
    <xf numFmtId="171" fontId="8" fillId="7" borderId="4" xfId="0" applyFont="true" applyBorder="true" applyAlignment="true" applyProtection="false">
      <alignment horizontal="right" vertical="center" textRotation="0" wrapText="false" indent="0" shrinkToFit="false"/>
      <protection locked="true" hidden="false"/>
    </xf>
    <xf numFmtId="171" fontId="8" fillId="10" borderId="4" xfId="0" applyFont="true" applyBorder="true" applyAlignment="true" applyProtection="false">
      <alignment horizontal="right" vertical="center" textRotation="0" wrapText="false" indent="0" shrinkToFit="false"/>
      <protection locked="true" hidden="false"/>
    </xf>
    <xf numFmtId="171" fontId="7" fillId="9" borderId="4" xfId="0" applyFont="true" applyBorder="true" applyAlignment="true" applyProtection="false">
      <alignment horizontal="right" vertical="center" textRotation="0" wrapText="false" indent="0" shrinkToFit="false"/>
      <protection locked="true" hidden="false"/>
    </xf>
    <xf numFmtId="171" fontId="7" fillId="4" borderId="4"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CCCCC"/>
      <rgbColor rgb="FF888888"/>
      <rgbColor rgb="FF9999FF"/>
      <rgbColor rgb="FF993366"/>
      <rgbColor rgb="FFFFF8E1"/>
      <rgbColor rgb="FFE8F5E9"/>
      <rgbColor rgb="FF660066"/>
      <rgbColor rgb="FFFF8080"/>
      <rgbColor rgb="FF1565C0"/>
      <rgbColor rgb="FFF5F5F5"/>
      <rgbColor rgb="FF000080"/>
      <rgbColor rgb="FFFF00FF"/>
      <rgbColor rgb="FFFFFF00"/>
      <rgbColor rgb="FF00FFFF"/>
      <rgbColor rgb="FF800080"/>
      <rgbColor rgb="FF800000"/>
      <rgbColor rgb="FF008080"/>
      <rgbColor rgb="FF0000FF"/>
      <rgbColor rgb="FF00CCFF"/>
      <rgbColor rgb="FFEBF5FB"/>
      <rgbColor rgb="FFE8E8E8"/>
      <rgbColor rgb="FFFFF3E0"/>
      <rgbColor rgb="FF88BBDD"/>
      <rgbColor rgb="FFFF99CC"/>
      <rgbColor rgb="FFCC99FF"/>
      <rgbColor rgb="FFFFEBEE"/>
      <rgbColor rgb="FF3366FF"/>
      <rgbColor rgb="FF33CCCC"/>
      <rgbColor rgb="FF99CC00"/>
      <rgbColor rgb="FFFFCC00"/>
      <rgbColor rgb="FFF7931A"/>
      <rgbColor rgb="FFFF6600"/>
      <rgbColor rgb="FF666666"/>
      <rgbColor rgb="FF969696"/>
      <rgbColor rgb="FF003366"/>
      <rgbColor rgb="FF2E7D32"/>
      <rgbColor rgb="FF003300"/>
      <rgbColor rgb="FF1C1C2E"/>
      <rgbColor rgb="FFC62828"/>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6"/>
    <col collapsed="false" customWidth="true" hidden="false" outlineLevel="0" max="6" min="4" style="0" width="12"/>
    <col collapsed="false" customWidth="true" hidden="false" outlineLevel="0" max="7" min="7" style="0" width="16"/>
    <col collapsed="false" customWidth="true" hidden="false" outlineLevel="0" max="8" min="8" style="0" width="36"/>
    <col collapsed="false" customWidth="true" hidden="false" outlineLevel="0" max="10" min="9" style="0" width="13"/>
    <col collapsed="false" customWidth="true" hidden="false" outlineLevel="0" max="11" min="11" style="0" width="16"/>
    <col collapsed="false" customWidth="true" hidden="false" outlineLevel="0" max="12" min="12" style="0" width="13"/>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5" hidden="false" customHeight="false" outlineLevel="0" collapsed="false">
      <c r="A4" s="3" t="s">
        <v>2</v>
      </c>
      <c r="B4" s="3"/>
      <c r="C4" s="3"/>
      <c r="D4" s="3"/>
      <c r="E4" s="3"/>
      <c r="F4" s="3"/>
      <c r="G4" s="3"/>
      <c r="H4" s="3"/>
    </row>
    <row r="5" customFormat="false" ht="15" hidden="false" customHeight="false" outlineLevel="0" collapsed="false">
      <c r="A5" s="4" t="s">
        <v>3</v>
      </c>
      <c r="B5" s="4" t="s">
        <v>4</v>
      </c>
      <c r="C5" s="4" t="s">
        <v>5</v>
      </c>
      <c r="D5" s="4" t="s">
        <v>6</v>
      </c>
      <c r="E5" s="4" t="s">
        <v>7</v>
      </c>
      <c r="F5" s="4" t="s">
        <v>8</v>
      </c>
      <c r="G5" s="4" t="s">
        <v>9</v>
      </c>
      <c r="H5" s="4" t="s">
        <v>10</v>
      </c>
    </row>
    <row r="6" customFormat="false" ht="15" hidden="false" customHeight="false" outlineLevel="0" collapsed="false">
      <c r="A6" s="5" t="s">
        <v>11</v>
      </c>
      <c r="B6" s="6" t="n">
        <v>0.18</v>
      </c>
      <c r="C6" s="7" t="n">
        <v>180000000</v>
      </c>
      <c r="D6" s="8" t="n">
        <v>12</v>
      </c>
      <c r="E6" s="8" t="n">
        <v>48</v>
      </c>
      <c r="F6" s="9" t="s">
        <v>12</v>
      </c>
      <c r="G6" s="9" t="s">
        <v>12</v>
      </c>
      <c r="H6" s="5" t="s">
        <v>13</v>
      </c>
    </row>
    <row r="7" customFormat="false" ht="15" hidden="false" customHeight="false" outlineLevel="0" collapsed="false">
      <c r="A7" s="10" t="s">
        <v>14</v>
      </c>
      <c r="B7" s="11" t="n">
        <v>0.1</v>
      </c>
      <c r="C7" s="12" t="n">
        <v>100000000</v>
      </c>
      <c r="D7" s="13" t="n">
        <v>6</v>
      </c>
      <c r="E7" s="13" t="n">
        <v>24</v>
      </c>
      <c r="F7" s="14" t="s">
        <v>12</v>
      </c>
      <c r="G7" s="14" t="s">
        <v>12</v>
      </c>
      <c r="H7" s="10" t="s">
        <v>15</v>
      </c>
    </row>
    <row r="8" customFormat="false" ht="15" hidden="false" customHeight="false" outlineLevel="0" collapsed="false">
      <c r="A8" s="5" t="s">
        <v>16</v>
      </c>
      <c r="B8" s="6" t="n">
        <v>0.22</v>
      </c>
      <c r="C8" s="7" t="n">
        <v>220000000</v>
      </c>
      <c r="D8" s="9" t="s">
        <v>12</v>
      </c>
      <c r="E8" s="8" t="n">
        <v>48</v>
      </c>
      <c r="F8" s="9" t="s">
        <v>12</v>
      </c>
      <c r="G8" s="9" t="s">
        <v>12</v>
      </c>
      <c r="H8" s="5" t="s">
        <v>17</v>
      </c>
    </row>
    <row r="9" customFormat="false" ht="15" hidden="false" customHeight="false" outlineLevel="0" collapsed="false">
      <c r="A9" s="10" t="s">
        <v>18</v>
      </c>
      <c r="B9" s="11" t="n">
        <v>0.15</v>
      </c>
      <c r="C9" s="12" t="n">
        <v>150000000</v>
      </c>
      <c r="D9" s="13" t="n">
        <v>3</v>
      </c>
      <c r="E9" s="13" t="n">
        <v>48</v>
      </c>
      <c r="F9" s="14" t="s">
        <v>12</v>
      </c>
      <c r="G9" s="14" t="s">
        <v>12</v>
      </c>
      <c r="H9" s="10" t="s">
        <v>19</v>
      </c>
    </row>
    <row r="10" customFormat="false" ht="15" hidden="false" customHeight="false" outlineLevel="0" collapsed="false">
      <c r="A10" s="5" t="s">
        <v>20</v>
      </c>
      <c r="B10" s="6" t="n">
        <v>0.08</v>
      </c>
      <c r="C10" s="7" t="n">
        <v>80000000</v>
      </c>
      <c r="D10" s="9" t="s">
        <v>12</v>
      </c>
      <c r="E10" s="8" t="n">
        <v>12</v>
      </c>
      <c r="F10" s="6" t="n">
        <v>0.2</v>
      </c>
      <c r="G10" s="7" t="n">
        <v>16000000</v>
      </c>
      <c r="H10" s="5" t="s">
        <v>21</v>
      </c>
    </row>
    <row r="11" customFormat="false" ht="15" hidden="false" customHeight="false" outlineLevel="0" collapsed="false">
      <c r="A11" s="10" t="s">
        <v>22</v>
      </c>
      <c r="B11" s="11" t="n">
        <v>0.05</v>
      </c>
      <c r="C11" s="12" t="n">
        <v>50000000</v>
      </c>
      <c r="D11" s="14" t="s">
        <v>12</v>
      </c>
      <c r="E11" s="14" t="s">
        <v>12</v>
      </c>
      <c r="F11" s="11" t="n">
        <v>1</v>
      </c>
      <c r="G11" s="12" t="n">
        <v>50000000</v>
      </c>
      <c r="H11" s="10" t="s">
        <v>23</v>
      </c>
    </row>
    <row r="12" customFormat="false" ht="15" hidden="false" customHeight="false" outlineLevel="0" collapsed="false">
      <c r="A12" s="5" t="s">
        <v>24</v>
      </c>
      <c r="B12" s="6" t="n">
        <v>0.04</v>
      </c>
      <c r="C12" s="7" t="n">
        <v>40000000</v>
      </c>
      <c r="D12" s="8" t="n">
        <v>6</v>
      </c>
      <c r="E12" s="8" t="n">
        <v>24</v>
      </c>
      <c r="F12" s="9" t="s">
        <v>12</v>
      </c>
      <c r="G12" s="9" t="s">
        <v>12</v>
      </c>
      <c r="H12" s="5" t="s">
        <v>25</v>
      </c>
    </row>
    <row r="13" customFormat="false" ht="15" hidden="false" customHeight="false" outlineLevel="0" collapsed="false">
      <c r="A13" s="10" t="s">
        <v>26</v>
      </c>
      <c r="B13" s="11" t="n">
        <v>0.03</v>
      </c>
      <c r="C13" s="12" t="n">
        <v>30000000</v>
      </c>
      <c r="D13" s="14" t="s">
        <v>12</v>
      </c>
      <c r="E13" s="13" t="n">
        <v>24</v>
      </c>
      <c r="F13" s="14" t="s">
        <v>12</v>
      </c>
      <c r="G13" s="14" t="s">
        <v>12</v>
      </c>
      <c r="H13" s="10" t="s">
        <v>27</v>
      </c>
    </row>
    <row r="14" customFormat="false" ht="15" hidden="false" customHeight="false" outlineLevel="0" collapsed="false">
      <c r="A14" s="15" t="s">
        <v>28</v>
      </c>
      <c r="B14" s="6" t="n">
        <v>0.15</v>
      </c>
      <c r="C14" s="7" t="n">
        <v>150000000</v>
      </c>
      <c r="D14" s="9" t="s">
        <v>12</v>
      </c>
      <c r="E14" s="9" t="s">
        <v>12</v>
      </c>
      <c r="F14" s="9" t="s">
        <v>12</v>
      </c>
      <c r="G14" s="9" t="s">
        <v>12</v>
      </c>
      <c r="H14" s="5" t="s">
        <v>29</v>
      </c>
    </row>
    <row r="15" customFormat="false" ht="15" hidden="false" customHeight="false" outlineLevel="0" collapsed="false">
      <c r="A15" s="16" t="s">
        <v>30</v>
      </c>
      <c r="B15" s="17" t="n">
        <f aca="false">SUM(B6:B14)</f>
        <v>1</v>
      </c>
      <c r="C15" s="18" t="n">
        <f aca="false">SUM(C6:C14)</f>
        <v>1000000000</v>
      </c>
      <c r="D15" s="19"/>
      <c r="E15" s="19"/>
      <c r="F15" s="19"/>
      <c r="G15" s="18" t="n">
        <f aca="false">SUM(G6:G14)</f>
        <v>66000000</v>
      </c>
      <c r="H15" s="20" t="s">
        <v>31</v>
      </c>
    </row>
    <row r="17" customFormat="false" ht="15" hidden="false" customHeight="false" outlineLevel="0" collapsed="false">
      <c r="A17" s="3" t="s">
        <v>32</v>
      </c>
      <c r="B17" s="3"/>
      <c r="C17" s="3"/>
      <c r="D17" s="3"/>
      <c r="E17" s="3"/>
      <c r="F17" s="3"/>
      <c r="G17" s="3"/>
      <c r="H17" s="3"/>
    </row>
    <row r="18" customFormat="false" ht="15" hidden="false" customHeight="false" outlineLevel="0" collapsed="false">
      <c r="A18" s="4" t="s">
        <v>33</v>
      </c>
      <c r="B18" s="4" t="s">
        <v>34</v>
      </c>
      <c r="C18" s="4" t="s">
        <v>35</v>
      </c>
      <c r="D18" s="4" t="s">
        <v>36</v>
      </c>
      <c r="E18" s="4" t="s">
        <v>37</v>
      </c>
      <c r="F18" s="4" t="s">
        <v>38</v>
      </c>
      <c r="G18" s="4" t="s">
        <v>39</v>
      </c>
      <c r="H18" s="4" t="s">
        <v>40</v>
      </c>
      <c r="I18" s="4" t="s">
        <v>24</v>
      </c>
      <c r="J18" s="4" t="s">
        <v>41</v>
      </c>
      <c r="K18" s="4" t="s">
        <v>42</v>
      </c>
      <c r="L18" s="4" t="s">
        <v>43</v>
      </c>
    </row>
    <row r="19" customFormat="false" ht="15" hidden="false" customHeight="false" outlineLevel="0" collapsed="false">
      <c r="A19" s="21" t="n">
        <v>1</v>
      </c>
      <c r="B19" s="21" t="n">
        <v>1</v>
      </c>
      <c r="C19" s="12" t="n">
        <v>0</v>
      </c>
      <c r="D19" s="12" t="n">
        <v>0</v>
      </c>
      <c r="E19" s="12" t="n">
        <v>4583333</v>
      </c>
      <c r="F19" s="12" t="n">
        <v>0</v>
      </c>
      <c r="G19" s="12" t="n">
        <v>16000000</v>
      </c>
      <c r="H19" s="12" t="n">
        <v>50000000</v>
      </c>
      <c r="I19" s="12" t="n">
        <v>0</v>
      </c>
      <c r="J19" s="12" t="n">
        <v>1250000</v>
      </c>
      <c r="K19" s="22" t="n">
        <v>71833333</v>
      </c>
      <c r="L19" s="23" t="n">
        <v>0.0718333333333333</v>
      </c>
    </row>
    <row r="20" customFormat="false" ht="15" hidden="false" customHeight="false" outlineLevel="0" collapsed="false">
      <c r="A20" s="24" t="n">
        <v>2</v>
      </c>
      <c r="B20" s="24" t="n">
        <v>1</v>
      </c>
      <c r="C20" s="7" t="n">
        <v>0</v>
      </c>
      <c r="D20" s="7" t="n">
        <v>0</v>
      </c>
      <c r="E20" s="7" t="n">
        <v>9166667</v>
      </c>
      <c r="F20" s="7" t="n">
        <v>0</v>
      </c>
      <c r="G20" s="7" t="n">
        <v>21333333</v>
      </c>
      <c r="H20" s="7" t="n">
        <v>50000000</v>
      </c>
      <c r="I20" s="7" t="n">
        <v>0</v>
      </c>
      <c r="J20" s="7" t="n">
        <v>2500000</v>
      </c>
      <c r="K20" s="22" t="n">
        <v>83000000</v>
      </c>
      <c r="L20" s="23" t="n">
        <v>0.083</v>
      </c>
    </row>
    <row r="21" customFormat="false" ht="15" hidden="false" customHeight="false" outlineLevel="0" collapsed="false">
      <c r="A21" s="21" t="n">
        <v>3</v>
      </c>
      <c r="B21" s="21" t="n">
        <v>1</v>
      </c>
      <c r="C21" s="12" t="n">
        <v>0</v>
      </c>
      <c r="D21" s="12" t="n">
        <v>0</v>
      </c>
      <c r="E21" s="12" t="n">
        <v>13750000</v>
      </c>
      <c r="F21" s="12" t="n">
        <v>0</v>
      </c>
      <c r="G21" s="12" t="n">
        <v>26666667</v>
      </c>
      <c r="H21" s="12" t="n">
        <v>50000000</v>
      </c>
      <c r="I21" s="12" t="n">
        <v>0</v>
      </c>
      <c r="J21" s="12" t="n">
        <v>3750000</v>
      </c>
      <c r="K21" s="22" t="n">
        <v>94166667</v>
      </c>
      <c r="L21" s="23" t="n">
        <v>0.0941666666666667</v>
      </c>
    </row>
    <row r="22" customFormat="false" ht="15" hidden="false" customHeight="false" outlineLevel="0" collapsed="false">
      <c r="A22" s="24" t="n">
        <v>4</v>
      </c>
      <c r="B22" s="24" t="n">
        <v>1</v>
      </c>
      <c r="C22" s="7" t="n">
        <v>0</v>
      </c>
      <c r="D22" s="7" t="n">
        <v>0</v>
      </c>
      <c r="E22" s="7" t="n">
        <v>18333333</v>
      </c>
      <c r="F22" s="7" t="n">
        <v>3333333</v>
      </c>
      <c r="G22" s="7" t="n">
        <v>32000000</v>
      </c>
      <c r="H22" s="7" t="n">
        <v>50000000</v>
      </c>
      <c r="I22" s="7" t="n">
        <v>0</v>
      </c>
      <c r="J22" s="7" t="n">
        <v>5000000</v>
      </c>
      <c r="K22" s="22" t="n">
        <v>108666667</v>
      </c>
      <c r="L22" s="23" t="n">
        <v>0.108666666666667</v>
      </c>
    </row>
    <row r="23" customFormat="false" ht="15" hidden="false" customHeight="false" outlineLevel="0" collapsed="false">
      <c r="A23" s="21" t="n">
        <v>5</v>
      </c>
      <c r="B23" s="21" t="n">
        <v>1</v>
      </c>
      <c r="C23" s="12" t="n">
        <v>0</v>
      </c>
      <c r="D23" s="12" t="n">
        <v>0</v>
      </c>
      <c r="E23" s="12" t="n">
        <v>22916667</v>
      </c>
      <c r="F23" s="12" t="n">
        <v>6666667</v>
      </c>
      <c r="G23" s="12" t="n">
        <v>37333333</v>
      </c>
      <c r="H23" s="12" t="n">
        <v>50000000</v>
      </c>
      <c r="I23" s="12" t="n">
        <v>0</v>
      </c>
      <c r="J23" s="12" t="n">
        <v>6250000</v>
      </c>
      <c r="K23" s="22" t="n">
        <v>123166667</v>
      </c>
      <c r="L23" s="23" t="n">
        <v>0.123166666666667</v>
      </c>
    </row>
    <row r="24" customFormat="false" ht="15" hidden="false" customHeight="false" outlineLevel="0" collapsed="false">
      <c r="A24" s="24" t="n">
        <v>6</v>
      </c>
      <c r="B24" s="24" t="n">
        <v>1</v>
      </c>
      <c r="C24" s="7" t="n">
        <v>0</v>
      </c>
      <c r="D24" s="7" t="n">
        <v>0</v>
      </c>
      <c r="E24" s="7" t="n">
        <v>27500000</v>
      </c>
      <c r="F24" s="7" t="n">
        <v>10000000</v>
      </c>
      <c r="G24" s="7" t="n">
        <v>42666667</v>
      </c>
      <c r="H24" s="7" t="n">
        <v>50000000</v>
      </c>
      <c r="I24" s="7" t="n">
        <v>0</v>
      </c>
      <c r="J24" s="7" t="n">
        <v>7500000</v>
      </c>
      <c r="K24" s="22" t="n">
        <v>137666667</v>
      </c>
      <c r="L24" s="23" t="n">
        <v>0.137666666666667</v>
      </c>
    </row>
    <row r="25" customFormat="false" ht="15" hidden="false" customHeight="false" outlineLevel="0" collapsed="false">
      <c r="A25" s="21" t="n">
        <v>7</v>
      </c>
      <c r="B25" s="21" t="n">
        <v>1</v>
      </c>
      <c r="C25" s="12" t="n">
        <v>0</v>
      </c>
      <c r="D25" s="12" t="n">
        <v>4166667</v>
      </c>
      <c r="E25" s="12" t="n">
        <v>32083333</v>
      </c>
      <c r="F25" s="12" t="n">
        <v>13333333</v>
      </c>
      <c r="G25" s="12" t="n">
        <v>48000000</v>
      </c>
      <c r="H25" s="12" t="n">
        <v>50000000</v>
      </c>
      <c r="I25" s="12" t="n">
        <v>1666667</v>
      </c>
      <c r="J25" s="12" t="n">
        <v>8750000</v>
      </c>
      <c r="K25" s="22" t="n">
        <v>158000000</v>
      </c>
      <c r="L25" s="23" t="n">
        <v>0.158</v>
      </c>
    </row>
    <row r="26" customFormat="false" ht="15" hidden="false" customHeight="false" outlineLevel="0" collapsed="false">
      <c r="A26" s="24" t="n">
        <v>8</v>
      </c>
      <c r="B26" s="24" t="n">
        <v>1</v>
      </c>
      <c r="C26" s="7" t="n">
        <v>0</v>
      </c>
      <c r="D26" s="7" t="n">
        <v>8333333</v>
      </c>
      <c r="E26" s="7" t="n">
        <v>36666667</v>
      </c>
      <c r="F26" s="7" t="n">
        <v>16666667</v>
      </c>
      <c r="G26" s="7" t="n">
        <v>53333333</v>
      </c>
      <c r="H26" s="7" t="n">
        <v>50000000</v>
      </c>
      <c r="I26" s="7" t="n">
        <v>3333333</v>
      </c>
      <c r="J26" s="7" t="n">
        <v>10000000</v>
      </c>
      <c r="K26" s="22" t="n">
        <v>178333333</v>
      </c>
      <c r="L26" s="23" t="n">
        <v>0.178333333333333</v>
      </c>
    </row>
    <row r="27" customFormat="false" ht="15" hidden="false" customHeight="false" outlineLevel="0" collapsed="false">
      <c r="A27" s="21" t="n">
        <v>9</v>
      </c>
      <c r="B27" s="21" t="n">
        <v>1</v>
      </c>
      <c r="C27" s="12" t="n">
        <v>0</v>
      </c>
      <c r="D27" s="12" t="n">
        <v>12500000</v>
      </c>
      <c r="E27" s="12" t="n">
        <v>41250000</v>
      </c>
      <c r="F27" s="12" t="n">
        <v>20000000</v>
      </c>
      <c r="G27" s="12" t="n">
        <v>58666667</v>
      </c>
      <c r="H27" s="12" t="n">
        <v>50000000</v>
      </c>
      <c r="I27" s="12" t="n">
        <v>5000000</v>
      </c>
      <c r="J27" s="12" t="n">
        <v>11250000</v>
      </c>
      <c r="K27" s="22" t="n">
        <v>198666667</v>
      </c>
      <c r="L27" s="23" t="n">
        <v>0.198666666666667</v>
      </c>
    </row>
    <row r="28" customFormat="false" ht="15" hidden="false" customHeight="false" outlineLevel="0" collapsed="false">
      <c r="A28" s="24" t="n">
        <v>10</v>
      </c>
      <c r="B28" s="24" t="n">
        <v>1</v>
      </c>
      <c r="C28" s="7" t="n">
        <v>0</v>
      </c>
      <c r="D28" s="7" t="n">
        <v>16666667</v>
      </c>
      <c r="E28" s="7" t="n">
        <v>45833333</v>
      </c>
      <c r="F28" s="7" t="n">
        <v>23333333</v>
      </c>
      <c r="G28" s="7" t="n">
        <v>64000000</v>
      </c>
      <c r="H28" s="7" t="n">
        <v>50000000</v>
      </c>
      <c r="I28" s="7" t="n">
        <v>6666667</v>
      </c>
      <c r="J28" s="7" t="n">
        <v>12500000</v>
      </c>
      <c r="K28" s="22" t="n">
        <v>219000000</v>
      </c>
      <c r="L28" s="23" t="n">
        <v>0.219</v>
      </c>
    </row>
    <row r="29" customFormat="false" ht="15" hidden="false" customHeight="false" outlineLevel="0" collapsed="false">
      <c r="A29" s="21" t="n">
        <v>11</v>
      </c>
      <c r="B29" s="21" t="n">
        <v>1</v>
      </c>
      <c r="C29" s="12" t="n">
        <v>0</v>
      </c>
      <c r="D29" s="12" t="n">
        <v>20833333</v>
      </c>
      <c r="E29" s="12" t="n">
        <v>50416667</v>
      </c>
      <c r="F29" s="12" t="n">
        <v>26666667</v>
      </c>
      <c r="G29" s="12" t="n">
        <v>69333333</v>
      </c>
      <c r="H29" s="12" t="n">
        <v>50000000</v>
      </c>
      <c r="I29" s="12" t="n">
        <v>8333333</v>
      </c>
      <c r="J29" s="12" t="n">
        <v>13750000</v>
      </c>
      <c r="K29" s="22" t="n">
        <v>239333333</v>
      </c>
      <c r="L29" s="23" t="n">
        <v>0.239333333333333</v>
      </c>
    </row>
    <row r="30" customFormat="false" ht="15" hidden="false" customHeight="false" outlineLevel="0" collapsed="false">
      <c r="A30" s="24" t="n">
        <v>12</v>
      </c>
      <c r="B30" s="24" t="n">
        <v>1</v>
      </c>
      <c r="C30" s="7" t="n">
        <v>0</v>
      </c>
      <c r="D30" s="7" t="n">
        <v>25000000</v>
      </c>
      <c r="E30" s="7" t="n">
        <v>55000000</v>
      </c>
      <c r="F30" s="7" t="n">
        <v>30000000</v>
      </c>
      <c r="G30" s="7" t="n">
        <v>74666667</v>
      </c>
      <c r="H30" s="7" t="n">
        <v>50000000</v>
      </c>
      <c r="I30" s="7" t="n">
        <v>10000000</v>
      </c>
      <c r="J30" s="7" t="n">
        <v>15000000</v>
      </c>
      <c r="K30" s="22" t="n">
        <v>259666667</v>
      </c>
      <c r="L30" s="23" t="n">
        <v>0.259666666666667</v>
      </c>
    </row>
    <row r="31" customFormat="false" ht="15" hidden="false" customHeight="false" outlineLevel="0" collapsed="false">
      <c r="A31" s="21" t="n">
        <v>13</v>
      </c>
      <c r="B31" s="21" t="n">
        <v>2</v>
      </c>
      <c r="C31" s="12" t="n">
        <v>3750000</v>
      </c>
      <c r="D31" s="12" t="n">
        <v>29166667</v>
      </c>
      <c r="E31" s="12" t="n">
        <v>59583333</v>
      </c>
      <c r="F31" s="12" t="n">
        <v>33333333</v>
      </c>
      <c r="G31" s="12" t="n">
        <v>80000000</v>
      </c>
      <c r="H31" s="12" t="n">
        <v>50000000</v>
      </c>
      <c r="I31" s="12" t="n">
        <v>11666667</v>
      </c>
      <c r="J31" s="12" t="n">
        <v>16250000</v>
      </c>
      <c r="K31" s="22" t="n">
        <v>283750000</v>
      </c>
      <c r="L31" s="23" t="n">
        <v>0.28375</v>
      </c>
    </row>
    <row r="32" customFormat="false" ht="15" hidden="false" customHeight="false" outlineLevel="0" collapsed="false">
      <c r="A32" s="24" t="n">
        <v>14</v>
      </c>
      <c r="B32" s="24" t="n">
        <v>2</v>
      </c>
      <c r="C32" s="7" t="n">
        <v>7500000</v>
      </c>
      <c r="D32" s="7" t="n">
        <v>33333333</v>
      </c>
      <c r="E32" s="7" t="n">
        <v>64166667</v>
      </c>
      <c r="F32" s="7" t="n">
        <v>36666667</v>
      </c>
      <c r="G32" s="7" t="n">
        <v>80000000</v>
      </c>
      <c r="H32" s="7" t="n">
        <v>50000000</v>
      </c>
      <c r="I32" s="7" t="n">
        <v>13333333</v>
      </c>
      <c r="J32" s="7" t="n">
        <v>17500000</v>
      </c>
      <c r="K32" s="22" t="n">
        <v>302500000</v>
      </c>
      <c r="L32" s="23" t="n">
        <v>0.3025</v>
      </c>
    </row>
    <row r="33" customFormat="false" ht="15" hidden="false" customHeight="false" outlineLevel="0" collapsed="false">
      <c r="A33" s="21" t="n">
        <v>15</v>
      </c>
      <c r="B33" s="21" t="n">
        <v>2</v>
      </c>
      <c r="C33" s="12" t="n">
        <v>11250000</v>
      </c>
      <c r="D33" s="12" t="n">
        <v>37500000</v>
      </c>
      <c r="E33" s="12" t="n">
        <v>68750000</v>
      </c>
      <c r="F33" s="12" t="n">
        <v>40000000</v>
      </c>
      <c r="G33" s="12" t="n">
        <v>80000000</v>
      </c>
      <c r="H33" s="12" t="n">
        <v>50000000</v>
      </c>
      <c r="I33" s="12" t="n">
        <v>15000000</v>
      </c>
      <c r="J33" s="12" t="n">
        <v>18750000</v>
      </c>
      <c r="K33" s="22" t="n">
        <v>321250000</v>
      </c>
      <c r="L33" s="23" t="n">
        <v>0.32125</v>
      </c>
    </row>
    <row r="34" customFormat="false" ht="15" hidden="false" customHeight="false" outlineLevel="0" collapsed="false">
      <c r="A34" s="24" t="n">
        <v>16</v>
      </c>
      <c r="B34" s="24" t="n">
        <v>2</v>
      </c>
      <c r="C34" s="7" t="n">
        <v>15000000</v>
      </c>
      <c r="D34" s="7" t="n">
        <v>41666667</v>
      </c>
      <c r="E34" s="7" t="n">
        <v>73333333</v>
      </c>
      <c r="F34" s="7" t="n">
        <v>43333333</v>
      </c>
      <c r="G34" s="7" t="n">
        <v>80000000</v>
      </c>
      <c r="H34" s="7" t="n">
        <v>50000000</v>
      </c>
      <c r="I34" s="7" t="n">
        <v>16666667</v>
      </c>
      <c r="J34" s="7" t="n">
        <v>20000000</v>
      </c>
      <c r="K34" s="22" t="n">
        <v>340000000</v>
      </c>
      <c r="L34" s="23" t="n">
        <v>0.34</v>
      </c>
    </row>
    <row r="35" customFormat="false" ht="15" hidden="false" customHeight="false" outlineLevel="0" collapsed="false">
      <c r="A35" s="21" t="n">
        <v>17</v>
      </c>
      <c r="B35" s="21" t="n">
        <v>2</v>
      </c>
      <c r="C35" s="12" t="n">
        <v>18750000</v>
      </c>
      <c r="D35" s="12" t="n">
        <v>45833333</v>
      </c>
      <c r="E35" s="12" t="n">
        <v>77916667</v>
      </c>
      <c r="F35" s="12" t="n">
        <v>46666667</v>
      </c>
      <c r="G35" s="12" t="n">
        <v>80000000</v>
      </c>
      <c r="H35" s="12" t="n">
        <v>50000000</v>
      </c>
      <c r="I35" s="12" t="n">
        <v>18333333</v>
      </c>
      <c r="J35" s="12" t="n">
        <v>21250000</v>
      </c>
      <c r="K35" s="22" t="n">
        <v>358750000</v>
      </c>
      <c r="L35" s="23" t="n">
        <v>0.35875</v>
      </c>
    </row>
    <row r="36" customFormat="false" ht="15" hidden="false" customHeight="false" outlineLevel="0" collapsed="false">
      <c r="A36" s="24" t="n">
        <v>18</v>
      </c>
      <c r="B36" s="24" t="n">
        <v>2</v>
      </c>
      <c r="C36" s="7" t="n">
        <v>22500000</v>
      </c>
      <c r="D36" s="7" t="n">
        <v>50000000</v>
      </c>
      <c r="E36" s="7" t="n">
        <v>82500000</v>
      </c>
      <c r="F36" s="7" t="n">
        <v>50000000</v>
      </c>
      <c r="G36" s="7" t="n">
        <v>80000000</v>
      </c>
      <c r="H36" s="7" t="n">
        <v>50000000</v>
      </c>
      <c r="I36" s="7" t="n">
        <v>20000000</v>
      </c>
      <c r="J36" s="7" t="n">
        <v>22500000</v>
      </c>
      <c r="K36" s="22" t="n">
        <v>377500000</v>
      </c>
      <c r="L36" s="23" t="n">
        <v>0.3775</v>
      </c>
    </row>
    <row r="37" customFormat="false" ht="15" hidden="false" customHeight="false" outlineLevel="0" collapsed="false">
      <c r="A37" s="21" t="n">
        <v>19</v>
      </c>
      <c r="B37" s="21" t="n">
        <v>2</v>
      </c>
      <c r="C37" s="12" t="n">
        <v>26250000</v>
      </c>
      <c r="D37" s="12" t="n">
        <v>54166667</v>
      </c>
      <c r="E37" s="12" t="n">
        <v>87083333</v>
      </c>
      <c r="F37" s="12" t="n">
        <v>53333333</v>
      </c>
      <c r="G37" s="12" t="n">
        <v>80000000</v>
      </c>
      <c r="H37" s="12" t="n">
        <v>50000000</v>
      </c>
      <c r="I37" s="12" t="n">
        <v>21666667</v>
      </c>
      <c r="J37" s="12" t="n">
        <v>23750000</v>
      </c>
      <c r="K37" s="22" t="n">
        <v>396250000</v>
      </c>
      <c r="L37" s="23" t="n">
        <v>0.39625</v>
      </c>
    </row>
    <row r="38" customFormat="false" ht="15" hidden="false" customHeight="false" outlineLevel="0" collapsed="false">
      <c r="A38" s="24" t="n">
        <v>20</v>
      </c>
      <c r="B38" s="24" t="n">
        <v>2</v>
      </c>
      <c r="C38" s="7" t="n">
        <v>30000000</v>
      </c>
      <c r="D38" s="7" t="n">
        <v>58333333</v>
      </c>
      <c r="E38" s="7" t="n">
        <v>91666667</v>
      </c>
      <c r="F38" s="7" t="n">
        <v>56666667</v>
      </c>
      <c r="G38" s="7" t="n">
        <v>80000000</v>
      </c>
      <c r="H38" s="7" t="n">
        <v>50000000</v>
      </c>
      <c r="I38" s="7" t="n">
        <v>23333333</v>
      </c>
      <c r="J38" s="7" t="n">
        <v>25000000</v>
      </c>
      <c r="K38" s="22" t="n">
        <v>415000000</v>
      </c>
      <c r="L38" s="23" t="n">
        <v>0.415</v>
      </c>
    </row>
    <row r="39" customFormat="false" ht="15" hidden="false" customHeight="false" outlineLevel="0" collapsed="false">
      <c r="A39" s="21" t="n">
        <v>21</v>
      </c>
      <c r="B39" s="21" t="n">
        <v>2</v>
      </c>
      <c r="C39" s="12" t="n">
        <v>33750000</v>
      </c>
      <c r="D39" s="12" t="n">
        <v>62500000</v>
      </c>
      <c r="E39" s="12" t="n">
        <v>96250000</v>
      </c>
      <c r="F39" s="12" t="n">
        <v>60000000</v>
      </c>
      <c r="G39" s="12" t="n">
        <v>80000000</v>
      </c>
      <c r="H39" s="12" t="n">
        <v>50000000</v>
      </c>
      <c r="I39" s="12" t="n">
        <v>25000000</v>
      </c>
      <c r="J39" s="12" t="n">
        <v>26250000</v>
      </c>
      <c r="K39" s="22" t="n">
        <v>433750000</v>
      </c>
      <c r="L39" s="23" t="n">
        <v>0.43375</v>
      </c>
    </row>
    <row r="40" customFormat="false" ht="15" hidden="false" customHeight="false" outlineLevel="0" collapsed="false">
      <c r="A40" s="24" t="n">
        <v>22</v>
      </c>
      <c r="B40" s="24" t="n">
        <v>2</v>
      </c>
      <c r="C40" s="7" t="n">
        <v>37500000</v>
      </c>
      <c r="D40" s="7" t="n">
        <v>66666667</v>
      </c>
      <c r="E40" s="7" t="n">
        <v>100833333</v>
      </c>
      <c r="F40" s="7" t="n">
        <v>63333333</v>
      </c>
      <c r="G40" s="7" t="n">
        <v>80000000</v>
      </c>
      <c r="H40" s="7" t="n">
        <v>50000000</v>
      </c>
      <c r="I40" s="7" t="n">
        <v>26666667</v>
      </c>
      <c r="J40" s="7" t="n">
        <v>27500000</v>
      </c>
      <c r="K40" s="22" t="n">
        <v>452500000</v>
      </c>
      <c r="L40" s="23" t="n">
        <v>0.4525</v>
      </c>
    </row>
    <row r="41" customFormat="false" ht="15" hidden="false" customHeight="false" outlineLevel="0" collapsed="false">
      <c r="A41" s="21" t="n">
        <v>23</v>
      </c>
      <c r="B41" s="21" t="n">
        <v>2</v>
      </c>
      <c r="C41" s="12" t="n">
        <v>41250000</v>
      </c>
      <c r="D41" s="12" t="n">
        <v>70833333</v>
      </c>
      <c r="E41" s="12" t="n">
        <v>105416667</v>
      </c>
      <c r="F41" s="12" t="n">
        <v>66666667</v>
      </c>
      <c r="G41" s="12" t="n">
        <v>80000000</v>
      </c>
      <c r="H41" s="12" t="n">
        <v>50000000</v>
      </c>
      <c r="I41" s="12" t="n">
        <v>28333333</v>
      </c>
      <c r="J41" s="12" t="n">
        <v>28750000</v>
      </c>
      <c r="K41" s="22" t="n">
        <v>471250000</v>
      </c>
      <c r="L41" s="23" t="n">
        <v>0.47125</v>
      </c>
    </row>
    <row r="42" customFormat="false" ht="15" hidden="false" customHeight="false" outlineLevel="0" collapsed="false">
      <c r="A42" s="24" t="n">
        <v>24</v>
      </c>
      <c r="B42" s="24" t="n">
        <v>2</v>
      </c>
      <c r="C42" s="7" t="n">
        <v>45000000</v>
      </c>
      <c r="D42" s="7" t="n">
        <v>75000000</v>
      </c>
      <c r="E42" s="7" t="n">
        <v>110000000</v>
      </c>
      <c r="F42" s="7" t="n">
        <v>70000000</v>
      </c>
      <c r="G42" s="7" t="n">
        <v>80000000</v>
      </c>
      <c r="H42" s="7" t="n">
        <v>50000000</v>
      </c>
      <c r="I42" s="7" t="n">
        <v>30000000</v>
      </c>
      <c r="J42" s="7" t="n">
        <v>30000000</v>
      </c>
      <c r="K42" s="22" t="n">
        <v>490000000</v>
      </c>
      <c r="L42" s="23" t="n">
        <v>0.49</v>
      </c>
    </row>
    <row r="43" customFormat="false" ht="15" hidden="false" customHeight="false" outlineLevel="0" collapsed="false">
      <c r="A43" s="21" t="n">
        <v>25</v>
      </c>
      <c r="B43" s="21" t="n">
        <v>3</v>
      </c>
      <c r="C43" s="12" t="n">
        <v>48750000</v>
      </c>
      <c r="D43" s="12" t="n">
        <v>79166667</v>
      </c>
      <c r="E43" s="12" t="n">
        <v>114583333</v>
      </c>
      <c r="F43" s="12" t="n">
        <v>73333333</v>
      </c>
      <c r="G43" s="12" t="n">
        <v>80000000</v>
      </c>
      <c r="H43" s="12" t="n">
        <v>50000000</v>
      </c>
      <c r="I43" s="12" t="n">
        <v>31666667</v>
      </c>
      <c r="J43" s="12" t="n">
        <v>30000000</v>
      </c>
      <c r="K43" s="22" t="n">
        <v>507500000</v>
      </c>
      <c r="L43" s="23" t="n">
        <v>0.5075</v>
      </c>
    </row>
    <row r="44" customFormat="false" ht="15" hidden="false" customHeight="false" outlineLevel="0" collapsed="false">
      <c r="A44" s="24" t="n">
        <v>26</v>
      </c>
      <c r="B44" s="24" t="n">
        <v>3</v>
      </c>
      <c r="C44" s="7" t="n">
        <v>52500000</v>
      </c>
      <c r="D44" s="7" t="n">
        <v>83333333</v>
      </c>
      <c r="E44" s="7" t="n">
        <v>119166667</v>
      </c>
      <c r="F44" s="7" t="n">
        <v>76666667</v>
      </c>
      <c r="G44" s="7" t="n">
        <v>80000000</v>
      </c>
      <c r="H44" s="7" t="n">
        <v>50000000</v>
      </c>
      <c r="I44" s="7" t="n">
        <v>33333333</v>
      </c>
      <c r="J44" s="7" t="n">
        <v>30000000</v>
      </c>
      <c r="K44" s="22" t="n">
        <v>525000000</v>
      </c>
      <c r="L44" s="23" t="n">
        <v>0.525</v>
      </c>
    </row>
    <row r="45" customFormat="false" ht="15" hidden="false" customHeight="false" outlineLevel="0" collapsed="false">
      <c r="A45" s="21" t="n">
        <v>27</v>
      </c>
      <c r="B45" s="21" t="n">
        <v>3</v>
      </c>
      <c r="C45" s="12" t="n">
        <v>56250000</v>
      </c>
      <c r="D45" s="12" t="n">
        <v>87500000</v>
      </c>
      <c r="E45" s="12" t="n">
        <v>123750000</v>
      </c>
      <c r="F45" s="12" t="n">
        <v>80000000</v>
      </c>
      <c r="G45" s="12" t="n">
        <v>80000000</v>
      </c>
      <c r="H45" s="12" t="n">
        <v>50000000</v>
      </c>
      <c r="I45" s="12" t="n">
        <v>35000000</v>
      </c>
      <c r="J45" s="12" t="n">
        <v>30000000</v>
      </c>
      <c r="K45" s="22" t="n">
        <v>542500000</v>
      </c>
      <c r="L45" s="23" t="n">
        <v>0.5425</v>
      </c>
    </row>
    <row r="46" customFormat="false" ht="15" hidden="false" customHeight="false" outlineLevel="0" collapsed="false">
      <c r="A46" s="24" t="n">
        <v>28</v>
      </c>
      <c r="B46" s="24" t="n">
        <v>3</v>
      </c>
      <c r="C46" s="7" t="n">
        <v>60000000</v>
      </c>
      <c r="D46" s="7" t="n">
        <v>91666667</v>
      </c>
      <c r="E46" s="7" t="n">
        <v>128333333</v>
      </c>
      <c r="F46" s="7" t="n">
        <v>83333333</v>
      </c>
      <c r="G46" s="7" t="n">
        <v>80000000</v>
      </c>
      <c r="H46" s="7" t="n">
        <v>50000000</v>
      </c>
      <c r="I46" s="7" t="n">
        <v>36666667</v>
      </c>
      <c r="J46" s="7" t="n">
        <v>30000000</v>
      </c>
      <c r="K46" s="22" t="n">
        <v>560000000</v>
      </c>
      <c r="L46" s="23" t="n">
        <v>0.56</v>
      </c>
    </row>
    <row r="47" customFormat="false" ht="15" hidden="false" customHeight="false" outlineLevel="0" collapsed="false">
      <c r="A47" s="21" t="n">
        <v>29</v>
      </c>
      <c r="B47" s="21" t="n">
        <v>3</v>
      </c>
      <c r="C47" s="12" t="n">
        <v>63750000</v>
      </c>
      <c r="D47" s="12" t="n">
        <v>95833333</v>
      </c>
      <c r="E47" s="12" t="n">
        <v>132916667</v>
      </c>
      <c r="F47" s="12" t="n">
        <v>86666667</v>
      </c>
      <c r="G47" s="12" t="n">
        <v>80000000</v>
      </c>
      <c r="H47" s="12" t="n">
        <v>50000000</v>
      </c>
      <c r="I47" s="12" t="n">
        <v>38333333</v>
      </c>
      <c r="J47" s="12" t="n">
        <v>30000000</v>
      </c>
      <c r="K47" s="22" t="n">
        <v>577500000</v>
      </c>
      <c r="L47" s="23" t="n">
        <v>0.5775</v>
      </c>
    </row>
    <row r="48" customFormat="false" ht="15" hidden="false" customHeight="false" outlineLevel="0" collapsed="false">
      <c r="A48" s="24" t="n">
        <v>30</v>
      </c>
      <c r="B48" s="24" t="n">
        <v>3</v>
      </c>
      <c r="C48" s="7" t="n">
        <v>67500000</v>
      </c>
      <c r="D48" s="7" t="n">
        <v>100000000</v>
      </c>
      <c r="E48" s="7" t="n">
        <v>137500000</v>
      </c>
      <c r="F48" s="7" t="n">
        <v>90000000</v>
      </c>
      <c r="G48" s="7" t="n">
        <v>80000000</v>
      </c>
      <c r="H48" s="7" t="n">
        <v>50000000</v>
      </c>
      <c r="I48" s="7" t="n">
        <v>40000000</v>
      </c>
      <c r="J48" s="7" t="n">
        <v>30000000</v>
      </c>
      <c r="K48" s="22" t="n">
        <v>595000000</v>
      </c>
      <c r="L48" s="23" t="n">
        <v>0.595</v>
      </c>
    </row>
    <row r="49" customFormat="false" ht="15" hidden="false" customHeight="false" outlineLevel="0" collapsed="false">
      <c r="A49" s="21" t="n">
        <v>31</v>
      </c>
      <c r="B49" s="21" t="n">
        <v>3</v>
      </c>
      <c r="C49" s="12" t="n">
        <v>71250000</v>
      </c>
      <c r="D49" s="12" t="n">
        <v>100000000</v>
      </c>
      <c r="E49" s="12" t="n">
        <v>142083333</v>
      </c>
      <c r="F49" s="12" t="n">
        <v>93333333</v>
      </c>
      <c r="G49" s="12" t="n">
        <v>80000000</v>
      </c>
      <c r="H49" s="12" t="n">
        <v>50000000</v>
      </c>
      <c r="I49" s="12" t="n">
        <v>40000000</v>
      </c>
      <c r="J49" s="12" t="n">
        <v>30000000</v>
      </c>
      <c r="K49" s="22" t="n">
        <v>606666667</v>
      </c>
      <c r="L49" s="23" t="n">
        <v>0.606666666666667</v>
      </c>
    </row>
    <row r="50" customFormat="false" ht="15" hidden="false" customHeight="false" outlineLevel="0" collapsed="false">
      <c r="A50" s="24" t="n">
        <v>32</v>
      </c>
      <c r="B50" s="24" t="n">
        <v>3</v>
      </c>
      <c r="C50" s="7" t="n">
        <v>75000000</v>
      </c>
      <c r="D50" s="7" t="n">
        <v>100000000</v>
      </c>
      <c r="E50" s="7" t="n">
        <v>146666667</v>
      </c>
      <c r="F50" s="7" t="n">
        <v>96666667</v>
      </c>
      <c r="G50" s="7" t="n">
        <v>80000000</v>
      </c>
      <c r="H50" s="7" t="n">
        <v>50000000</v>
      </c>
      <c r="I50" s="7" t="n">
        <v>40000000</v>
      </c>
      <c r="J50" s="7" t="n">
        <v>30000000</v>
      </c>
      <c r="K50" s="22" t="n">
        <v>618333333</v>
      </c>
      <c r="L50" s="23" t="n">
        <v>0.618333333333333</v>
      </c>
    </row>
    <row r="51" customFormat="false" ht="15" hidden="false" customHeight="false" outlineLevel="0" collapsed="false">
      <c r="A51" s="21" t="n">
        <v>33</v>
      </c>
      <c r="B51" s="21" t="n">
        <v>3</v>
      </c>
      <c r="C51" s="12" t="n">
        <v>78750000</v>
      </c>
      <c r="D51" s="12" t="n">
        <v>100000000</v>
      </c>
      <c r="E51" s="12" t="n">
        <v>151250000</v>
      </c>
      <c r="F51" s="12" t="n">
        <v>100000000</v>
      </c>
      <c r="G51" s="12" t="n">
        <v>80000000</v>
      </c>
      <c r="H51" s="12" t="n">
        <v>50000000</v>
      </c>
      <c r="I51" s="12" t="n">
        <v>40000000</v>
      </c>
      <c r="J51" s="12" t="n">
        <v>30000000</v>
      </c>
      <c r="K51" s="22" t="n">
        <v>630000000</v>
      </c>
      <c r="L51" s="23" t="n">
        <v>0.63</v>
      </c>
    </row>
    <row r="52" customFormat="false" ht="15" hidden="false" customHeight="false" outlineLevel="0" collapsed="false">
      <c r="A52" s="24" t="n">
        <v>34</v>
      </c>
      <c r="B52" s="24" t="n">
        <v>3</v>
      </c>
      <c r="C52" s="7" t="n">
        <v>82500000</v>
      </c>
      <c r="D52" s="7" t="n">
        <v>100000000</v>
      </c>
      <c r="E52" s="7" t="n">
        <v>155833333</v>
      </c>
      <c r="F52" s="7" t="n">
        <v>103333333</v>
      </c>
      <c r="G52" s="7" t="n">
        <v>80000000</v>
      </c>
      <c r="H52" s="7" t="n">
        <v>50000000</v>
      </c>
      <c r="I52" s="7" t="n">
        <v>40000000</v>
      </c>
      <c r="J52" s="7" t="n">
        <v>30000000</v>
      </c>
      <c r="K52" s="22" t="n">
        <v>641666667</v>
      </c>
      <c r="L52" s="23" t="n">
        <v>0.641666666666667</v>
      </c>
    </row>
    <row r="53" customFormat="false" ht="15" hidden="false" customHeight="false" outlineLevel="0" collapsed="false">
      <c r="A53" s="21" t="n">
        <v>35</v>
      </c>
      <c r="B53" s="21" t="n">
        <v>3</v>
      </c>
      <c r="C53" s="12" t="n">
        <v>86250000</v>
      </c>
      <c r="D53" s="12" t="n">
        <v>100000000</v>
      </c>
      <c r="E53" s="12" t="n">
        <v>160416667</v>
      </c>
      <c r="F53" s="12" t="n">
        <v>106666667</v>
      </c>
      <c r="G53" s="12" t="n">
        <v>80000000</v>
      </c>
      <c r="H53" s="12" t="n">
        <v>50000000</v>
      </c>
      <c r="I53" s="12" t="n">
        <v>40000000</v>
      </c>
      <c r="J53" s="12" t="n">
        <v>30000000</v>
      </c>
      <c r="K53" s="22" t="n">
        <v>653333333</v>
      </c>
      <c r="L53" s="23" t="n">
        <v>0.653333333333333</v>
      </c>
    </row>
    <row r="54" customFormat="false" ht="15" hidden="false" customHeight="false" outlineLevel="0" collapsed="false">
      <c r="A54" s="24" t="n">
        <v>36</v>
      </c>
      <c r="B54" s="24" t="n">
        <v>3</v>
      </c>
      <c r="C54" s="7" t="n">
        <v>90000000</v>
      </c>
      <c r="D54" s="7" t="n">
        <v>100000000</v>
      </c>
      <c r="E54" s="7" t="n">
        <v>165000000</v>
      </c>
      <c r="F54" s="7" t="n">
        <v>110000000</v>
      </c>
      <c r="G54" s="7" t="n">
        <v>80000000</v>
      </c>
      <c r="H54" s="7" t="n">
        <v>50000000</v>
      </c>
      <c r="I54" s="7" t="n">
        <v>40000000</v>
      </c>
      <c r="J54" s="7" t="n">
        <v>30000000</v>
      </c>
      <c r="K54" s="22" t="n">
        <v>665000000</v>
      </c>
      <c r="L54" s="23" t="n">
        <v>0.665</v>
      </c>
    </row>
    <row r="55" customFormat="false" ht="15" hidden="false" customHeight="false" outlineLevel="0" collapsed="false">
      <c r="A55" s="21" t="n">
        <v>37</v>
      </c>
      <c r="B55" s="21" t="n">
        <v>4</v>
      </c>
      <c r="C55" s="12" t="n">
        <v>93750000</v>
      </c>
      <c r="D55" s="12" t="n">
        <v>100000000</v>
      </c>
      <c r="E55" s="12" t="n">
        <v>169583333</v>
      </c>
      <c r="F55" s="12" t="n">
        <v>113333333</v>
      </c>
      <c r="G55" s="12" t="n">
        <v>80000000</v>
      </c>
      <c r="H55" s="12" t="n">
        <v>50000000</v>
      </c>
      <c r="I55" s="12" t="n">
        <v>40000000</v>
      </c>
      <c r="J55" s="12" t="n">
        <v>30000000</v>
      </c>
      <c r="K55" s="22" t="n">
        <v>676666667</v>
      </c>
      <c r="L55" s="23" t="n">
        <v>0.676666666666667</v>
      </c>
    </row>
    <row r="56" customFormat="false" ht="15" hidden="false" customHeight="false" outlineLevel="0" collapsed="false">
      <c r="A56" s="24" t="n">
        <v>38</v>
      </c>
      <c r="B56" s="24" t="n">
        <v>4</v>
      </c>
      <c r="C56" s="7" t="n">
        <v>97500000</v>
      </c>
      <c r="D56" s="7" t="n">
        <v>100000000</v>
      </c>
      <c r="E56" s="7" t="n">
        <v>174166667</v>
      </c>
      <c r="F56" s="7" t="n">
        <v>116666667</v>
      </c>
      <c r="G56" s="7" t="n">
        <v>80000000</v>
      </c>
      <c r="H56" s="7" t="n">
        <v>50000000</v>
      </c>
      <c r="I56" s="7" t="n">
        <v>40000000</v>
      </c>
      <c r="J56" s="7" t="n">
        <v>30000000</v>
      </c>
      <c r="K56" s="22" t="n">
        <v>688333333</v>
      </c>
      <c r="L56" s="23" t="n">
        <v>0.688333333333333</v>
      </c>
    </row>
    <row r="57" customFormat="false" ht="15" hidden="false" customHeight="false" outlineLevel="0" collapsed="false">
      <c r="A57" s="21" t="n">
        <v>39</v>
      </c>
      <c r="B57" s="21" t="n">
        <v>4</v>
      </c>
      <c r="C57" s="12" t="n">
        <v>101250000</v>
      </c>
      <c r="D57" s="12" t="n">
        <v>100000000</v>
      </c>
      <c r="E57" s="12" t="n">
        <v>178750000</v>
      </c>
      <c r="F57" s="12" t="n">
        <v>120000000</v>
      </c>
      <c r="G57" s="12" t="n">
        <v>80000000</v>
      </c>
      <c r="H57" s="12" t="n">
        <v>50000000</v>
      </c>
      <c r="I57" s="12" t="n">
        <v>40000000</v>
      </c>
      <c r="J57" s="12" t="n">
        <v>30000000</v>
      </c>
      <c r="K57" s="22" t="n">
        <v>700000000</v>
      </c>
      <c r="L57" s="23" t="n">
        <v>0.7</v>
      </c>
    </row>
    <row r="58" customFormat="false" ht="15" hidden="false" customHeight="false" outlineLevel="0" collapsed="false">
      <c r="A58" s="24" t="n">
        <v>40</v>
      </c>
      <c r="B58" s="24" t="n">
        <v>4</v>
      </c>
      <c r="C58" s="7" t="n">
        <v>105000000</v>
      </c>
      <c r="D58" s="7" t="n">
        <v>100000000</v>
      </c>
      <c r="E58" s="7" t="n">
        <v>183333333</v>
      </c>
      <c r="F58" s="7" t="n">
        <v>123333333</v>
      </c>
      <c r="G58" s="7" t="n">
        <v>80000000</v>
      </c>
      <c r="H58" s="7" t="n">
        <v>50000000</v>
      </c>
      <c r="I58" s="7" t="n">
        <v>40000000</v>
      </c>
      <c r="J58" s="7" t="n">
        <v>30000000</v>
      </c>
      <c r="K58" s="22" t="n">
        <v>711666667</v>
      </c>
      <c r="L58" s="23" t="n">
        <v>0.711666666666667</v>
      </c>
    </row>
    <row r="59" customFormat="false" ht="15" hidden="false" customHeight="false" outlineLevel="0" collapsed="false">
      <c r="A59" s="21" t="n">
        <v>41</v>
      </c>
      <c r="B59" s="21" t="n">
        <v>4</v>
      </c>
      <c r="C59" s="12" t="n">
        <v>108750000</v>
      </c>
      <c r="D59" s="12" t="n">
        <v>100000000</v>
      </c>
      <c r="E59" s="12" t="n">
        <v>187916667</v>
      </c>
      <c r="F59" s="12" t="n">
        <v>126666667</v>
      </c>
      <c r="G59" s="12" t="n">
        <v>80000000</v>
      </c>
      <c r="H59" s="12" t="n">
        <v>50000000</v>
      </c>
      <c r="I59" s="12" t="n">
        <v>40000000</v>
      </c>
      <c r="J59" s="12" t="n">
        <v>30000000</v>
      </c>
      <c r="K59" s="22" t="n">
        <v>723333333</v>
      </c>
      <c r="L59" s="23" t="n">
        <v>0.723333333333333</v>
      </c>
    </row>
    <row r="60" customFormat="false" ht="15" hidden="false" customHeight="false" outlineLevel="0" collapsed="false">
      <c r="A60" s="24" t="n">
        <v>42</v>
      </c>
      <c r="B60" s="24" t="n">
        <v>4</v>
      </c>
      <c r="C60" s="7" t="n">
        <v>112500000</v>
      </c>
      <c r="D60" s="7" t="n">
        <v>100000000</v>
      </c>
      <c r="E60" s="7" t="n">
        <v>192500000</v>
      </c>
      <c r="F60" s="7" t="n">
        <v>130000000</v>
      </c>
      <c r="G60" s="7" t="n">
        <v>80000000</v>
      </c>
      <c r="H60" s="7" t="n">
        <v>50000000</v>
      </c>
      <c r="I60" s="7" t="n">
        <v>40000000</v>
      </c>
      <c r="J60" s="7" t="n">
        <v>30000000</v>
      </c>
      <c r="K60" s="22" t="n">
        <v>735000000</v>
      </c>
      <c r="L60" s="23" t="n">
        <v>0.735</v>
      </c>
    </row>
    <row r="61" customFormat="false" ht="15" hidden="false" customHeight="false" outlineLevel="0" collapsed="false">
      <c r="A61" s="21" t="n">
        <v>43</v>
      </c>
      <c r="B61" s="21" t="n">
        <v>4</v>
      </c>
      <c r="C61" s="12" t="n">
        <v>116250000</v>
      </c>
      <c r="D61" s="12" t="n">
        <v>100000000</v>
      </c>
      <c r="E61" s="12" t="n">
        <v>197083333</v>
      </c>
      <c r="F61" s="12" t="n">
        <v>133333333</v>
      </c>
      <c r="G61" s="12" t="n">
        <v>80000000</v>
      </c>
      <c r="H61" s="12" t="n">
        <v>50000000</v>
      </c>
      <c r="I61" s="12" t="n">
        <v>40000000</v>
      </c>
      <c r="J61" s="12" t="n">
        <v>30000000</v>
      </c>
      <c r="K61" s="22" t="n">
        <v>746666667</v>
      </c>
      <c r="L61" s="23" t="n">
        <v>0.746666666666667</v>
      </c>
    </row>
    <row r="62" customFormat="false" ht="15" hidden="false" customHeight="false" outlineLevel="0" collapsed="false">
      <c r="A62" s="24" t="n">
        <v>44</v>
      </c>
      <c r="B62" s="24" t="n">
        <v>4</v>
      </c>
      <c r="C62" s="7" t="n">
        <v>120000000</v>
      </c>
      <c r="D62" s="7" t="n">
        <v>100000000</v>
      </c>
      <c r="E62" s="7" t="n">
        <v>201666667</v>
      </c>
      <c r="F62" s="7" t="n">
        <v>136666667</v>
      </c>
      <c r="G62" s="7" t="n">
        <v>80000000</v>
      </c>
      <c r="H62" s="7" t="n">
        <v>50000000</v>
      </c>
      <c r="I62" s="7" t="n">
        <v>40000000</v>
      </c>
      <c r="J62" s="7" t="n">
        <v>30000000</v>
      </c>
      <c r="K62" s="22" t="n">
        <v>758333333</v>
      </c>
      <c r="L62" s="23" t="n">
        <v>0.758333333333333</v>
      </c>
    </row>
    <row r="63" customFormat="false" ht="15" hidden="false" customHeight="false" outlineLevel="0" collapsed="false">
      <c r="A63" s="21" t="n">
        <v>45</v>
      </c>
      <c r="B63" s="21" t="n">
        <v>4</v>
      </c>
      <c r="C63" s="12" t="n">
        <v>123750000</v>
      </c>
      <c r="D63" s="12" t="n">
        <v>100000000</v>
      </c>
      <c r="E63" s="12" t="n">
        <v>206250000</v>
      </c>
      <c r="F63" s="12" t="n">
        <v>140000000</v>
      </c>
      <c r="G63" s="12" t="n">
        <v>80000000</v>
      </c>
      <c r="H63" s="12" t="n">
        <v>50000000</v>
      </c>
      <c r="I63" s="12" t="n">
        <v>40000000</v>
      </c>
      <c r="J63" s="12" t="n">
        <v>30000000</v>
      </c>
      <c r="K63" s="22" t="n">
        <v>770000000</v>
      </c>
      <c r="L63" s="23" t="n">
        <v>0.77</v>
      </c>
    </row>
    <row r="64" customFormat="false" ht="15" hidden="false" customHeight="false" outlineLevel="0" collapsed="false">
      <c r="A64" s="24" t="n">
        <v>46</v>
      </c>
      <c r="B64" s="24" t="n">
        <v>4</v>
      </c>
      <c r="C64" s="7" t="n">
        <v>127500000</v>
      </c>
      <c r="D64" s="7" t="n">
        <v>100000000</v>
      </c>
      <c r="E64" s="7" t="n">
        <v>210833333</v>
      </c>
      <c r="F64" s="7" t="n">
        <v>143333333</v>
      </c>
      <c r="G64" s="7" t="n">
        <v>80000000</v>
      </c>
      <c r="H64" s="7" t="n">
        <v>50000000</v>
      </c>
      <c r="I64" s="7" t="n">
        <v>40000000</v>
      </c>
      <c r="J64" s="7" t="n">
        <v>30000000</v>
      </c>
      <c r="K64" s="22" t="n">
        <v>781666667</v>
      </c>
      <c r="L64" s="23" t="n">
        <v>0.781666666666667</v>
      </c>
    </row>
    <row r="65" customFormat="false" ht="15" hidden="false" customHeight="false" outlineLevel="0" collapsed="false">
      <c r="A65" s="21" t="n">
        <v>47</v>
      </c>
      <c r="B65" s="21" t="n">
        <v>4</v>
      </c>
      <c r="C65" s="12" t="n">
        <v>131250000</v>
      </c>
      <c r="D65" s="12" t="n">
        <v>100000000</v>
      </c>
      <c r="E65" s="12" t="n">
        <v>215416667</v>
      </c>
      <c r="F65" s="12" t="n">
        <v>146666667</v>
      </c>
      <c r="G65" s="12" t="n">
        <v>80000000</v>
      </c>
      <c r="H65" s="12" t="n">
        <v>50000000</v>
      </c>
      <c r="I65" s="12" t="n">
        <v>40000000</v>
      </c>
      <c r="J65" s="12" t="n">
        <v>30000000</v>
      </c>
      <c r="K65" s="22" t="n">
        <v>793333333</v>
      </c>
      <c r="L65" s="23" t="n">
        <v>0.793333333333333</v>
      </c>
    </row>
    <row r="66" customFormat="false" ht="15" hidden="false" customHeight="false" outlineLevel="0" collapsed="false">
      <c r="A66" s="24" t="n">
        <v>48</v>
      </c>
      <c r="B66" s="24" t="n">
        <v>4</v>
      </c>
      <c r="C66" s="7" t="n">
        <v>135000000</v>
      </c>
      <c r="D66" s="7" t="n">
        <v>100000000</v>
      </c>
      <c r="E66" s="7" t="n">
        <v>220000000</v>
      </c>
      <c r="F66" s="7" t="n">
        <v>150000000</v>
      </c>
      <c r="G66" s="7" t="n">
        <v>80000000</v>
      </c>
      <c r="H66" s="7" t="n">
        <v>50000000</v>
      </c>
      <c r="I66" s="7" t="n">
        <v>40000000</v>
      </c>
      <c r="J66" s="7" t="n">
        <v>30000000</v>
      </c>
      <c r="K66" s="22" t="n">
        <v>805000000</v>
      </c>
      <c r="L66" s="23" t="n">
        <v>0.805</v>
      </c>
    </row>
    <row r="67" customFormat="false" ht="15" hidden="false" customHeight="false" outlineLevel="0" collapsed="false">
      <c r="A67" s="21" t="n">
        <v>49</v>
      </c>
      <c r="B67" s="21" t="n">
        <v>5</v>
      </c>
      <c r="C67" s="12" t="n">
        <v>138750000</v>
      </c>
      <c r="D67" s="12" t="n">
        <v>100000000</v>
      </c>
      <c r="E67" s="12" t="n">
        <v>220000000</v>
      </c>
      <c r="F67" s="12" t="n">
        <v>150000000</v>
      </c>
      <c r="G67" s="12" t="n">
        <v>80000000</v>
      </c>
      <c r="H67" s="12" t="n">
        <v>50000000</v>
      </c>
      <c r="I67" s="12" t="n">
        <v>40000000</v>
      </c>
      <c r="J67" s="12" t="n">
        <v>30000000</v>
      </c>
      <c r="K67" s="22" t="n">
        <v>808750000</v>
      </c>
      <c r="L67" s="23" t="n">
        <v>0.80875</v>
      </c>
    </row>
    <row r="68" customFormat="false" ht="15" hidden="false" customHeight="false" outlineLevel="0" collapsed="false">
      <c r="A68" s="24" t="n">
        <v>50</v>
      </c>
      <c r="B68" s="24" t="n">
        <v>5</v>
      </c>
      <c r="C68" s="7" t="n">
        <v>142500000</v>
      </c>
      <c r="D68" s="7" t="n">
        <v>100000000</v>
      </c>
      <c r="E68" s="7" t="n">
        <v>220000000</v>
      </c>
      <c r="F68" s="7" t="n">
        <v>150000000</v>
      </c>
      <c r="G68" s="7" t="n">
        <v>80000000</v>
      </c>
      <c r="H68" s="7" t="n">
        <v>50000000</v>
      </c>
      <c r="I68" s="7" t="n">
        <v>40000000</v>
      </c>
      <c r="J68" s="7" t="n">
        <v>30000000</v>
      </c>
      <c r="K68" s="22" t="n">
        <v>812500000</v>
      </c>
      <c r="L68" s="23" t="n">
        <v>0.8125</v>
      </c>
    </row>
    <row r="69" customFormat="false" ht="15" hidden="false" customHeight="false" outlineLevel="0" collapsed="false">
      <c r="A69" s="21" t="n">
        <v>51</v>
      </c>
      <c r="B69" s="21" t="n">
        <v>5</v>
      </c>
      <c r="C69" s="12" t="n">
        <v>146250000</v>
      </c>
      <c r="D69" s="12" t="n">
        <v>100000000</v>
      </c>
      <c r="E69" s="12" t="n">
        <v>220000000</v>
      </c>
      <c r="F69" s="12" t="n">
        <v>150000000</v>
      </c>
      <c r="G69" s="12" t="n">
        <v>80000000</v>
      </c>
      <c r="H69" s="12" t="n">
        <v>50000000</v>
      </c>
      <c r="I69" s="12" t="n">
        <v>40000000</v>
      </c>
      <c r="J69" s="12" t="n">
        <v>30000000</v>
      </c>
      <c r="K69" s="22" t="n">
        <v>816250000</v>
      </c>
      <c r="L69" s="23" t="n">
        <v>0.81625</v>
      </c>
    </row>
    <row r="70" customFormat="false" ht="15" hidden="false" customHeight="false" outlineLevel="0" collapsed="false">
      <c r="A70" s="24" t="n">
        <v>52</v>
      </c>
      <c r="B70" s="24" t="n">
        <v>5</v>
      </c>
      <c r="C70" s="7" t="n">
        <v>150000000</v>
      </c>
      <c r="D70" s="7" t="n">
        <v>100000000</v>
      </c>
      <c r="E70" s="7" t="n">
        <v>220000000</v>
      </c>
      <c r="F70" s="7" t="n">
        <v>150000000</v>
      </c>
      <c r="G70" s="7" t="n">
        <v>80000000</v>
      </c>
      <c r="H70" s="7" t="n">
        <v>50000000</v>
      </c>
      <c r="I70" s="7" t="n">
        <v>40000000</v>
      </c>
      <c r="J70" s="7" t="n">
        <v>30000000</v>
      </c>
      <c r="K70" s="22" t="n">
        <v>820000000</v>
      </c>
      <c r="L70" s="23" t="n">
        <v>0.82</v>
      </c>
    </row>
    <row r="71" customFormat="false" ht="15" hidden="false" customHeight="false" outlineLevel="0" collapsed="false">
      <c r="A71" s="21" t="n">
        <v>53</v>
      </c>
      <c r="B71" s="21" t="n">
        <v>5</v>
      </c>
      <c r="C71" s="12" t="n">
        <v>153750000</v>
      </c>
      <c r="D71" s="12" t="n">
        <v>100000000</v>
      </c>
      <c r="E71" s="12" t="n">
        <v>220000000</v>
      </c>
      <c r="F71" s="12" t="n">
        <v>150000000</v>
      </c>
      <c r="G71" s="12" t="n">
        <v>80000000</v>
      </c>
      <c r="H71" s="12" t="n">
        <v>50000000</v>
      </c>
      <c r="I71" s="12" t="n">
        <v>40000000</v>
      </c>
      <c r="J71" s="12" t="n">
        <v>30000000</v>
      </c>
      <c r="K71" s="22" t="n">
        <v>823750000</v>
      </c>
      <c r="L71" s="23" t="n">
        <v>0.82375</v>
      </c>
    </row>
    <row r="72" customFormat="false" ht="15" hidden="false" customHeight="false" outlineLevel="0" collapsed="false">
      <c r="A72" s="24" t="n">
        <v>54</v>
      </c>
      <c r="B72" s="24" t="n">
        <v>5</v>
      </c>
      <c r="C72" s="7" t="n">
        <v>157500000</v>
      </c>
      <c r="D72" s="7" t="n">
        <v>100000000</v>
      </c>
      <c r="E72" s="7" t="n">
        <v>220000000</v>
      </c>
      <c r="F72" s="7" t="n">
        <v>150000000</v>
      </c>
      <c r="G72" s="7" t="n">
        <v>80000000</v>
      </c>
      <c r="H72" s="7" t="n">
        <v>50000000</v>
      </c>
      <c r="I72" s="7" t="n">
        <v>40000000</v>
      </c>
      <c r="J72" s="7" t="n">
        <v>30000000</v>
      </c>
      <c r="K72" s="22" t="n">
        <v>827500000</v>
      </c>
      <c r="L72" s="23" t="n">
        <v>0.8275</v>
      </c>
    </row>
    <row r="73" customFormat="false" ht="15" hidden="false" customHeight="false" outlineLevel="0" collapsed="false">
      <c r="A73" s="21" t="n">
        <v>55</v>
      </c>
      <c r="B73" s="21" t="n">
        <v>5</v>
      </c>
      <c r="C73" s="12" t="n">
        <v>161250000</v>
      </c>
      <c r="D73" s="12" t="n">
        <v>100000000</v>
      </c>
      <c r="E73" s="12" t="n">
        <v>220000000</v>
      </c>
      <c r="F73" s="12" t="n">
        <v>150000000</v>
      </c>
      <c r="G73" s="12" t="n">
        <v>80000000</v>
      </c>
      <c r="H73" s="12" t="n">
        <v>50000000</v>
      </c>
      <c r="I73" s="12" t="n">
        <v>40000000</v>
      </c>
      <c r="J73" s="12" t="n">
        <v>30000000</v>
      </c>
      <c r="K73" s="22" t="n">
        <v>831250000</v>
      </c>
      <c r="L73" s="23" t="n">
        <v>0.83125</v>
      </c>
    </row>
    <row r="74" customFormat="false" ht="15" hidden="false" customHeight="false" outlineLevel="0" collapsed="false">
      <c r="A74" s="24" t="n">
        <v>56</v>
      </c>
      <c r="B74" s="24" t="n">
        <v>5</v>
      </c>
      <c r="C74" s="7" t="n">
        <v>165000000</v>
      </c>
      <c r="D74" s="7" t="n">
        <v>100000000</v>
      </c>
      <c r="E74" s="7" t="n">
        <v>220000000</v>
      </c>
      <c r="F74" s="7" t="n">
        <v>150000000</v>
      </c>
      <c r="G74" s="7" t="n">
        <v>80000000</v>
      </c>
      <c r="H74" s="7" t="n">
        <v>50000000</v>
      </c>
      <c r="I74" s="7" t="n">
        <v>40000000</v>
      </c>
      <c r="J74" s="7" t="n">
        <v>30000000</v>
      </c>
      <c r="K74" s="22" t="n">
        <v>835000000</v>
      </c>
      <c r="L74" s="23" t="n">
        <v>0.835</v>
      </c>
    </row>
    <row r="75" customFormat="false" ht="15" hidden="false" customHeight="false" outlineLevel="0" collapsed="false">
      <c r="A75" s="21" t="n">
        <v>57</v>
      </c>
      <c r="B75" s="21" t="n">
        <v>5</v>
      </c>
      <c r="C75" s="12" t="n">
        <v>168750000</v>
      </c>
      <c r="D75" s="12" t="n">
        <v>100000000</v>
      </c>
      <c r="E75" s="12" t="n">
        <v>220000000</v>
      </c>
      <c r="F75" s="12" t="n">
        <v>150000000</v>
      </c>
      <c r="G75" s="12" t="n">
        <v>80000000</v>
      </c>
      <c r="H75" s="12" t="n">
        <v>50000000</v>
      </c>
      <c r="I75" s="12" t="n">
        <v>40000000</v>
      </c>
      <c r="J75" s="12" t="n">
        <v>30000000</v>
      </c>
      <c r="K75" s="22" t="n">
        <v>838750000</v>
      </c>
      <c r="L75" s="23" t="n">
        <v>0.83875</v>
      </c>
    </row>
    <row r="76" customFormat="false" ht="15" hidden="false" customHeight="false" outlineLevel="0" collapsed="false">
      <c r="A76" s="24" t="n">
        <v>58</v>
      </c>
      <c r="B76" s="24" t="n">
        <v>5</v>
      </c>
      <c r="C76" s="7" t="n">
        <v>172500000</v>
      </c>
      <c r="D76" s="7" t="n">
        <v>100000000</v>
      </c>
      <c r="E76" s="7" t="n">
        <v>220000000</v>
      </c>
      <c r="F76" s="7" t="n">
        <v>150000000</v>
      </c>
      <c r="G76" s="7" t="n">
        <v>80000000</v>
      </c>
      <c r="H76" s="7" t="n">
        <v>50000000</v>
      </c>
      <c r="I76" s="7" t="n">
        <v>40000000</v>
      </c>
      <c r="J76" s="7" t="n">
        <v>30000000</v>
      </c>
      <c r="K76" s="22" t="n">
        <v>842500000</v>
      </c>
      <c r="L76" s="23" t="n">
        <v>0.8425</v>
      </c>
    </row>
    <row r="77" customFormat="false" ht="15" hidden="false" customHeight="false" outlineLevel="0" collapsed="false">
      <c r="A77" s="21" t="n">
        <v>59</v>
      </c>
      <c r="B77" s="21" t="n">
        <v>5</v>
      </c>
      <c r="C77" s="12" t="n">
        <v>176250000</v>
      </c>
      <c r="D77" s="12" t="n">
        <v>100000000</v>
      </c>
      <c r="E77" s="12" t="n">
        <v>220000000</v>
      </c>
      <c r="F77" s="12" t="n">
        <v>150000000</v>
      </c>
      <c r="G77" s="12" t="n">
        <v>80000000</v>
      </c>
      <c r="H77" s="12" t="n">
        <v>50000000</v>
      </c>
      <c r="I77" s="12" t="n">
        <v>40000000</v>
      </c>
      <c r="J77" s="12" t="n">
        <v>30000000</v>
      </c>
      <c r="K77" s="22" t="n">
        <v>846250000</v>
      </c>
      <c r="L77" s="23" t="n">
        <v>0.84625</v>
      </c>
    </row>
    <row r="78" customFormat="false" ht="15" hidden="false" customHeight="false" outlineLevel="0" collapsed="false">
      <c r="A78" s="24" t="n">
        <v>60</v>
      </c>
      <c r="B78" s="24" t="n">
        <v>5</v>
      </c>
      <c r="C78" s="7" t="n">
        <v>180000000</v>
      </c>
      <c r="D78" s="7" t="n">
        <v>100000000</v>
      </c>
      <c r="E78" s="7" t="n">
        <v>220000000</v>
      </c>
      <c r="F78" s="7" t="n">
        <v>150000000</v>
      </c>
      <c r="G78" s="7" t="n">
        <v>80000000</v>
      </c>
      <c r="H78" s="7" t="n">
        <v>50000000</v>
      </c>
      <c r="I78" s="7" t="n">
        <v>40000000</v>
      </c>
      <c r="J78" s="7" t="n">
        <v>30000000</v>
      </c>
      <c r="K78" s="22" t="n">
        <v>850000000</v>
      </c>
      <c r="L78" s="23" t="n">
        <v>0.85</v>
      </c>
    </row>
    <row r="80" customFormat="false" ht="15" hidden="false" customHeight="false" outlineLevel="0" collapsed="false">
      <c r="A80" s="3" t="s">
        <v>44</v>
      </c>
      <c r="B80" s="3"/>
      <c r="C80" s="3"/>
      <c r="D80" s="3"/>
      <c r="E80" s="3"/>
      <c r="F80" s="3"/>
      <c r="G80" s="3"/>
      <c r="H80" s="3"/>
    </row>
    <row r="81" customFormat="false" ht="15" hidden="false" customHeight="false" outlineLevel="0" collapsed="false">
      <c r="A81" s="4" t="s">
        <v>33</v>
      </c>
      <c r="B81" s="4" t="s">
        <v>45</v>
      </c>
      <c r="C81" s="4" t="s">
        <v>46</v>
      </c>
      <c r="D81" s="4" t="s">
        <v>47</v>
      </c>
      <c r="E81" s="4" t="s">
        <v>3</v>
      </c>
      <c r="F81" s="4" t="s">
        <v>48</v>
      </c>
    </row>
    <row r="82" customFormat="false" ht="15" hidden="false" customHeight="false" outlineLevel="0" collapsed="false">
      <c r="A82" s="8" t="n">
        <v>1</v>
      </c>
      <c r="B82" s="5" t="s">
        <v>49</v>
      </c>
      <c r="C82" s="5" t="s">
        <v>50</v>
      </c>
      <c r="D82" s="7" t="n">
        <v>66000000</v>
      </c>
      <c r="E82" s="5" t="s">
        <v>51</v>
      </c>
      <c r="F82" s="6" t="n">
        <v>0.066</v>
      </c>
    </row>
    <row r="83" customFormat="false" ht="15" hidden="false" customHeight="false" outlineLevel="0" collapsed="false">
      <c r="A83" s="13" t="n">
        <v>6</v>
      </c>
      <c r="B83" s="10" t="s">
        <v>52</v>
      </c>
      <c r="C83" s="10" t="s">
        <v>53</v>
      </c>
      <c r="D83" s="12" t="n">
        <v>4166667</v>
      </c>
      <c r="E83" s="10" t="s">
        <v>14</v>
      </c>
      <c r="F83" s="11" t="n">
        <v>0.004</v>
      </c>
    </row>
    <row r="84" customFormat="false" ht="15" hidden="false" customHeight="false" outlineLevel="0" collapsed="false">
      <c r="A84" s="8" t="n">
        <v>7</v>
      </c>
      <c r="B84" s="5" t="s">
        <v>54</v>
      </c>
      <c r="C84" s="5" t="s">
        <v>55</v>
      </c>
      <c r="D84" s="7" t="n">
        <v>1666667</v>
      </c>
      <c r="E84" s="5" t="s">
        <v>24</v>
      </c>
      <c r="F84" s="6" t="n">
        <v>0.002</v>
      </c>
    </row>
    <row r="85" customFormat="false" ht="15" hidden="false" customHeight="false" outlineLevel="0" collapsed="false">
      <c r="A85" s="13" t="n">
        <v>12</v>
      </c>
      <c r="B85" s="10" t="s">
        <v>56</v>
      </c>
      <c r="C85" s="10" t="s">
        <v>57</v>
      </c>
      <c r="D85" s="12" t="n">
        <v>3750000</v>
      </c>
      <c r="E85" s="10" t="s">
        <v>35</v>
      </c>
      <c r="F85" s="11" t="n">
        <v>0.004</v>
      </c>
    </row>
    <row r="86" customFormat="false" ht="15" hidden="false" customHeight="false" outlineLevel="0" collapsed="false">
      <c r="A86" s="8" t="n">
        <v>24</v>
      </c>
      <c r="B86" s="5" t="s">
        <v>58</v>
      </c>
      <c r="C86" s="5" t="s">
        <v>59</v>
      </c>
      <c r="D86" s="7" t="n">
        <v>100000000</v>
      </c>
      <c r="E86" s="5" t="s">
        <v>14</v>
      </c>
      <c r="F86" s="6" t="n">
        <v>0.1</v>
      </c>
    </row>
    <row r="87" customFormat="false" ht="15" hidden="false" customHeight="false" outlineLevel="0" collapsed="false">
      <c r="A87" s="13" t="n">
        <v>30</v>
      </c>
      <c r="B87" s="10" t="s">
        <v>60</v>
      </c>
      <c r="C87" s="10" t="s">
        <v>61</v>
      </c>
      <c r="D87" s="12" t="n">
        <v>220000000</v>
      </c>
      <c r="E87" s="10" t="s">
        <v>62</v>
      </c>
      <c r="F87" s="11" t="n">
        <v>0.22</v>
      </c>
    </row>
    <row r="88" customFormat="false" ht="15" hidden="false" customHeight="false" outlineLevel="0" collapsed="false">
      <c r="A88" s="8" t="n">
        <v>48</v>
      </c>
      <c r="B88" s="5" t="s">
        <v>63</v>
      </c>
      <c r="C88" s="5" t="s">
        <v>64</v>
      </c>
      <c r="D88" s="7" t="n">
        <v>180000000</v>
      </c>
      <c r="E88" s="5" t="s">
        <v>65</v>
      </c>
      <c r="F88" s="6" t="n">
        <v>0.18</v>
      </c>
    </row>
    <row r="89" customFormat="false" ht="15" hidden="false" customHeight="false" outlineLevel="0" collapsed="false">
      <c r="A89" s="13" t="n">
        <v>60</v>
      </c>
      <c r="B89" s="10" t="s">
        <v>66</v>
      </c>
      <c r="C89" s="10" t="s">
        <v>67</v>
      </c>
      <c r="D89" s="12" t="n">
        <v>850000000</v>
      </c>
      <c r="E89" s="10" t="s">
        <v>68</v>
      </c>
      <c r="F89" s="11" t="n">
        <v>0.85</v>
      </c>
    </row>
    <row r="91" customFormat="false" ht="27.75" hidden="false" customHeight="true" outlineLevel="0" collapsed="false">
      <c r="A91" s="25" t="s">
        <v>69</v>
      </c>
      <c r="B91" s="25"/>
      <c r="C91" s="25"/>
      <c r="D91" s="25"/>
      <c r="E91" s="25"/>
      <c r="F91" s="25"/>
      <c r="G91" s="25"/>
      <c r="H91" s="25"/>
    </row>
  </sheetData>
  <mergeCells count="6">
    <mergeCell ref="A1:H1"/>
    <mergeCell ref="A2:H2"/>
    <mergeCell ref="A4:H4"/>
    <mergeCell ref="A17:H17"/>
    <mergeCell ref="A80:H80"/>
    <mergeCell ref="A91:H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0"/>
    <col collapsed="false" customWidth="true" hidden="false" outlineLevel="0" max="4" min="4" style="0" width="44"/>
    <col collapsed="false" customWidth="true" hidden="false" outlineLevel="0" max="9" min="5" style="0" width="14"/>
  </cols>
  <sheetData>
    <row r="1" customFormat="false" ht="27.75" hidden="false" customHeight="true" outlineLevel="0" collapsed="false">
      <c r="A1" s="1" t="s">
        <v>70</v>
      </c>
      <c r="B1" s="1"/>
      <c r="C1" s="1"/>
      <c r="D1" s="1"/>
      <c r="E1" s="1"/>
      <c r="F1" s="1"/>
      <c r="G1" s="1"/>
      <c r="H1" s="1"/>
      <c r="I1" s="1"/>
    </row>
    <row r="2" customFormat="false" ht="15" hidden="false" customHeight="false" outlineLevel="0" collapsed="false">
      <c r="A2" s="2" t="s">
        <v>71</v>
      </c>
      <c r="B2" s="2"/>
      <c r="C2" s="2"/>
      <c r="D2" s="2"/>
      <c r="E2" s="2"/>
      <c r="F2" s="2"/>
      <c r="G2" s="2"/>
      <c r="H2" s="2"/>
      <c r="I2" s="2"/>
    </row>
    <row r="4" customFormat="false" ht="15" hidden="false" customHeight="false" outlineLevel="0" collapsed="false">
      <c r="A4" s="3" t="s">
        <v>72</v>
      </c>
      <c r="B4" s="3"/>
      <c r="C4" s="3"/>
      <c r="D4" s="3"/>
    </row>
    <row r="5" customFormat="false" ht="15" hidden="false" customHeight="false" outlineLevel="0" collapsed="false">
      <c r="A5" s="4" t="s">
        <v>73</v>
      </c>
      <c r="B5" s="4" t="s">
        <v>74</v>
      </c>
      <c r="C5" s="4" t="s">
        <v>75</v>
      </c>
      <c r="D5" s="4" t="s">
        <v>10</v>
      </c>
    </row>
    <row r="6" customFormat="false" ht="15" hidden="false" customHeight="false" outlineLevel="0" collapsed="false">
      <c r="A6" s="26" t="s">
        <v>76</v>
      </c>
      <c r="B6" s="27" t="n">
        <v>0.005</v>
      </c>
      <c r="C6" s="26" t="s">
        <v>77</v>
      </c>
      <c r="D6" s="26" t="s">
        <v>78</v>
      </c>
    </row>
    <row r="7" customFormat="false" ht="15" hidden="false" customHeight="false" outlineLevel="0" collapsed="false">
      <c r="A7" s="26" t="s">
        <v>79</v>
      </c>
      <c r="B7" s="27" t="n">
        <v>0.001</v>
      </c>
      <c r="C7" s="26" t="s">
        <v>80</v>
      </c>
      <c r="D7" s="26" t="s">
        <v>81</v>
      </c>
    </row>
    <row r="8" customFormat="false" ht="15" hidden="false" customHeight="false" outlineLevel="0" collapsed="false">
      <c r="A8" s="26" t="s">
        <v>82</v>
      </c>
      <c r="B8" s="27" t="n">
        <v>0.3</v>
      </c>
      <c r="C8" s="26" t="s">
        <v>80</v>
      </c>
      <c r="D8" s="26" t="s">
        <v>83</v>
      </c>
    </row>
    <row r="9" customFormat="false" ht="15" hidden="false" customHeight="false" outlineLevel="0" collapsed="false">
      <c r="A9" s="26" t="s">
        <v>84</v>
      </c>
      <c r="B9" s="27" t="n">
        <v>0.02</v>
      </c>
      <c r="C9" s="26" t="s">
        <v>85</v>
      </c>
      <c r="D9" s="26" t="s">
        <v>86</v>
      </c>
    </row>
    <row r="10" customFormat="false" ht="15" hidden="false" customHeight="false" outlineLevel="0" collapsed="false">
      <c r="A10" s="26" t="s">
        <v>87</v>
      </c>
      <c r="B10" s="27" t="n">
        <v>0.1</v>
      </c>
      <c r="C10" s="26" t="s">
        <v>88</v>
      </c>
      <c r="D10" s="26" t="s">
        <v>89</v>
      </c>
    </row>
    <row r="11" customFormat="false" ht="15" hidden="false" customHeight="false" outlineLevel="0" collapsed="false">
      <c r="A11" s="26" t="s">
        <v>90</v>
      </c>
      <c r="B11" s="27" t="n">
        <v>0.02</v>
      </c>
      <c r="C11" s="26" t="s">
        <v>80</v>
      </c>
      <c r="D11" s="26" t="s">
        <v>91</v>
      </c>
    </row>
    <row r="12" customFormat="false" ht="15" hidden="false" customHeight="false" outlineLevel="0" collapsed="false">
      <c r="A12" s="26" t="s">
        <v>92</v>
      </c>
      <c r="B12" s="27" t="n">
        <v>0.5</v>
      </c>
      <c r="C12" s="26" t="s">
        <v>88</v>
      </c>
      <c r="D12" s="26" t="s">
        <v>93</v>
      </c>
    </row>
    <row r="13" customFormat="false" ht="15" hidden="false" customHeight="false" outlineLevel="0" collapsed="false">
      <c r="A13" s="26" t="s">
        <v>94</v>
      </c>
      <c r="B13" s="27" t="n">
        <v>0.5</v>
      </c>
      <c r="C13" s="26" t="s">
        <v>88</v>
      </c>
      <c r="D13" s="26" t="s">
        <v>93</v>
      </c>
    </row>
    <row r="14" customFormat="false" ht="15" hidden="false" customHeight="false" outlineLevel="0" collapsed="false">
      <c r="A14" s="26" t="s">
        <v>95</v>
      </c>
      <c r="B14" s="27" t="n">
        <v>0.45</v>
      </c>
      <c r="C14" s="26" t="s">
        <v>96</v>
      </c>
      <c r="D14" s="26" t="s">
        <v>97</v>
      </c>
    </row>
    <row r="15" customFormat="false" ht="15" hidden="false" customHeight="false" outlineLevel="0" collapsed="false">
      <c r="A15" s="26" t="s">
        <v>98</v>
      </c>
      <c r="B15" s="28" t="n">
        <v>67000</v>
      </c>
      <c r="C15" s="26" t="s">
        <v>99</v>
      </c>
      <c r="D15" s="26" t="s">
        <v>100</v>
      </c>
    </row>
    <row r="16" customFormat="false" ht="15" hidden="false" customHeight="false" outlineLevel="0" collapsed="false">
      <c r="A16" s="26" t="s">
        <v>101</v>
      </c>
      <c r="B16" s="29" t="n">
        <v>0.015</v>
      </c>
      <c r="C16" s="26" t="s">
        <v>99</v>
      </c>
      <c r="D16" s="26" t="s">
        <v>102</v>
      </c>
    </row>
    <row r="17" customFormat="false" ht="15" hidden="false" customHeight="false" outlineLevel="0" collapsed="false">
      <c r="A17" s="5" t="s">
        <v>103</v>
      </c>
      <c r="B17" s="30" t="n">
        <f aca="false">B15*1100000</f>
        <v>73700000000</v>
      </c>
      <c r="C17" s="5" t="s">
        <v>99</v>
      </c>
      <c r="D17" s="5" t="s">
        <v>104</v>
      </c>
    </row>
    <row r="18" customFormat="false" ht="15" hidden="false" customHeight="false" outlineLevel="0" collapsed="false">
      <c r="A18" s="5" t="s">
        <v>105</v>
      </c>
      <c r="B18" s="30" t="n">
        <f aca="false">1000000000*B16</f>
        <v>15000000</v>
      </c>
      <c r="C18" s="5" t="s">
        <v>99</v>
      </c>
      <c r="D18" s="5" t="s">
        <v>106</v>
      </c>
    </row>
    <row r="19" customFormat="false" ht="15" hidden="false" customHeight="false" outlineLevel="0" collapsed="false">
      <c r="A19" s="5" t="s">
        <v>107</v>
      </c>
      <c r="B19" s="30" t="n">
        <f aca="false">0.1*1000000000*B16</f>
        <v>1500000</v>
      </c>
      <c r="C19" s="5" t="s">
        <v>99</v>
      </c>
      <c r="D19" s="5" t="s">
        <v>108</v>
      </c>
    </row>
    <row r="21" customFormat="false" ht="15" hidden="false" customHeight="false" outlineLevel="0" collapsed="false">
      <c r="A21" s="3" t="s">
        <v>109</v>
      </c>
      <c r="B21" s="3"/>
      <c r="C21" s="3"/>
      <c r="D21" s="3"/>
      <c r="E21" s="3"/>
      <c r="F21" s="3"/>
      <c r="G21" s="3"/>
      <c r="H21" s="3"/>
      <c r="I21" s="3"/>
    </row>
    <row r="22" customFormat="false" ht="15" hidden="false" customHeight="false" outlineLevel="0" collapsed="false">
      <c r="A22" s="4" t="s">
        <v>110</v>
      </c>
      <c r="B22" s="4" t="s">
        <v>111</v>
      </c>
      <c r="C22" s="4" t="s">
        <v>112</v>
      </c>
      <c r="D22" s="4" t="s">
        <v>113</v>
      </c>
      <c r="E22" s="4" t="s">
        <v>114</v>
      </c>
      <c r="F22" s="4" t="s">
        <v>115</v>
      </c>
      <c r="G22" s="4" t="s">
        <v>116</v>
      </c>
      <c r="H22" s="4"/>
      <c r="I22" s="4"/>
    </row>
    <row r="23" customFormat="false" ht="15" hidden="false" customHeight="false" outlineLevel="0" collapsed="false">
      <c r="A23" s="31" t="s">
        <v>117</v>
      </c>
      <c r="B23" s="28" t="n">
        <v>50000000</v>
      </c>
      <c r="C23" s="28" t="n">
        <v>120000000</v>
      </c>
      <c r="D23" s="28" t="n">
        <v>250000000</v>
      </c>
      <c r="E23" s="28" t="n">
        <v>400000000</v>
      </c>
      <c r="F23" s="28" t="n">
        <v>600000000</v>
      </c>
      <c r="G23" s="32" t="s">
        <v>118</v>
      </c>
      <c r="H23" s="32"/>
      <c r="I23" s="32"/>
    </row>
    <row r="24" customFormat="false" ht="15" hidden="false" customHeight="false" outlineLevel="0" collapsed="false">
      <c r="A24" s="33" t="s">
        <v>119</v>
      </c>
      <c r="B24" s="28" t="n">
        <v>200000000</v>
      </c>
      <c r="C24" s="28" t="n">
        <v>500000000</v>
      </c>
      <c r="D24" s="28" t="n">
        <v>1000000000</v>
      </c>
      <c r="E24" s="28" t="n">
        <v>1800000000</v>
      </c>
      <c r="F24" s="28" t="n">
        <v>3000000000</v>
      </c>
      <c r="G24" s="34" t="s">
        <v>120</v>
      </c>
      <c r="H24" s="34"/>
      <c r="I24" s="34"/>
    </row>
    <row r="25" customFormat="false" ht="15" hidden="false" customHeight="false" outlineLevel="0" collapsed="false">
      <c r="A25" s="35" t="s">
        <v>121</v>
      </c>
      <c r="B25" s="28" t="n">
        <v>500000000</v>
      </c>
      <c r="C25" s="28" t="n">
        <v>1500000000</v>
      </c>
      <c r="D25" s="28" t="n">
        <v>3500000000</v>
      </c>
      <c r="E25" s="28" t="n">
        <v>7000000000</v>
      </c>
      <c r="F25" s="28" t="n">
        <v>12000000000</v>
      </c>
      <c r="G25" s="36" t="s">
        <v>122</v>
      </c>
      <c r="H25" s="36"/>
      <c r="I25" s="36"/>
    </row>
    <row r="27" customFormat="false" ht="15" hidden="false" customHeight="false" outlineLevel="0" collapsed="false">
      <c r="A27" s="3" t="s">
        <v>123</v>
      </c>
      <c r="B27" s="3"/>
      <c r="C27" s="3"/>
      <c r="D27" s="3"/>
      <c r="E27" s="3"/>
      <c r="F27" s="3"/>
      <c r="G27" s="3"/>
      <c r="H27" s="3"/>
      <c r="I27" s="3"/>
    </row>
    <row r="28" customFormat="false" ht="15" hidden="false" customHeight="false" outlineLevel="0" collapsed="false">
      <c r="A28" s="4" t="s">
        <v>124</v>
      </c>
      <c r="B28" s="4" t="s">
        <v>110</v>
      </c>
      <c r="C28" s="4" t="s">
        <v>111</v>
      </c>
      <c r="D28" s="4" t="s">
        <v>112</v>
      </c>
      <c r="E28" s="4" t="s">
        <v>113</v>
      </c>
      <c r="F28" s="4" t="s">
        <v>114</v>
      </c>
      <c r="G28" s="4" t="s">
        <v>115</v>
      </c>
    </row>
    <row r="29" customFormat="false" ht="15" hidden="false" customHeight="false" outlineLevel="0" collapsed="false">
      <c r="A29" s="32" t="s">
        <v>125</v>
      </c>
      <c r="B29" s="31" t="s">
        <v>117</v>
      </c>
      <c r="C29" s="37" t="n">
        <f aca="false">'2. IF Underwriting'!B23*B6*B8*B12</f>
        <v>37500</v>
      </c>
      <c r="D29" s="37" t="n">
        <f aca="false">'2. IF Underwriting'!C23*B6*B8*B12</f>
        <v>90000</v>
      </c>
      <c r="E29" s="37" t="n">
        <f aca="false">'2. IF Underwriting'!D23*B6*B8*B12</f>
        <v>187500</v>
      </c>
      <c r="F29" s="37" t="n">
        <f aca="false">'2. IF Underwriting'!E23*B6*B8*B12</f>
        <v>300000</v>
      </c>
      <c r="G29" s="37" t="n">
        <f aca="false">'2. IF Underwriting'!F23*B6*B8*B12</f>
        <v>450000</v>
      </c>
    </row>
    <row r="30" customFormat="false" ht="15" hidden="false" customHeight="false" outlineLevel="0" collapsed="false">
      <c r="A30" s="32" t="s">
        <v>126</v>
      </c>
      <c r="B30" s="31" t="s">
        <v>117</v>
      </c>
      <c r="C30" s="37" t="n">
        <f aca="false">'2. IF Underwriting'!B23*B7*B13</f>
        <v>25000</v>
      </c>
      <c r="D30" s="37" t="n">
        <f aca="false">'2. IF Underwriting'!C23*B7*B13</f>
        <v>60000</v>
      </c>
      <c r="E30" s="37" t="n">
        <f aca="false">'2. IF Underwriting'!D23*B7*B13</f>
        <v>125000</v>
      </c>
      <c r="F30" s="37" t="n">
        <f aca="false">'2. IF Underwriting'!E23*B7*B13</f>
        <v>200000</v>
      </c>
      <c r="G30" s="37" t="n">
        <f aca="false">'2. IF Underwriting'!F23*B7*B13</f>
        <v>300000</v>
      </c>
    </row>
    <row r="31" customFormat="false" ht="15" hidden="false" customHeight="false" outlineLevel="0" collapsed="false">
      <c r="A31" s="32" t="s">
        <v>127</v>
      </c>
      <c r="B31" s="31" t="s">
        <v>117</v>
      </c>
      <c r="C31" s="37" t="n">
        <f aca="false">'2. IF Underwriting'!B23*B11*B9*B10</f>
        <v>2000</v>
      </c>
      <c r="D31" s="37" t="n">
        <f aca="false">'2. IF Underwriting'!C23*B11*B9*B10</f>
        <v>4800</v>
      </c>
      <c r="E31" s="37" t="n">
        <f aca="false">'2. IF Underwriting'!D23*B11*B9*B10</f>
        <v>10000</v>
      </c>
      <c r="F31" s="37" t="n">
        <f aca="false">'2. IF Underwriting'!E23*B11*B9*B10</f>
        <v>16000</v>
      </c>
      <c r="G31" s="37" t="n">
        <f aca="false">'2. IF Underwriting'!F23*B11*B9*B10</f>
        <v>24000</v>
      </c>
    </row>
    <row r="32" customFormat="false" ht="15" hidden="false" customHeight="false" outlineLevel="0" collapsed="false">
      <c r="A32" s="31" t="s">
        <v>128</v>
      </c>
      <c r="B32" s="31" t="s">
        <v>117</v>
      </c>
      <c r="C32" s="38" t="n">
        <f aca="false">C29+C30+C31</f>
        <v>64500</v>
      </c>
      <c r="D32" s="38" t="n">
        <f aca="false">D29+D30+D31</f>
        <v>154800</v>
      </c>
      <c r="E32" s="38" t="n">
        <f aca="false">E29+E30+E31</f>
        <v>322500</v>
      </c>
      <c r="F32" s="38" t="n">
        <f aca="false">F29+F30+F31</f>
        <v>516000</v>
      </c>
      <c r="G32" s="38" t="n">
        <f aca="false">G29+G30+G31</f>
        <v>774000</v>
      </c>
    </row>
    <row r="33" customFormat="false" ht="15" hidden="false" customHeight="false" outlineLevel="0" collapsed="false">
      <c r="A33" s="5" t="s">
        <v>129</v>
      </c>
      <c r="B33" s="15" t="s">
        <v>117</v>
      </c>
      <c r="C33" s="28" t="n">
        <v>7200000</v>
      </c>
      <c r="D33" s="28" t="n">
        <v>17010000</v>
      </c>
      <c r="E33" s="28" t="n">
        <v>31275000</v>
      </c>
      <c r="F33" s="28" t="n">
        <v>42660000</v>
      </c>
      <c r="G33" s="28" t="n">
        <v>57375000</v>
      </c>
    </row>
    <row r="34" customFormat="false" ht="15" hidden="false" customHeight="false" outlineLevel="0" collapsed="false">
      <c r="A34" s="16" t="s">
        <v>130</v>
      </c>
      <c r="B34" s="16" t="s">
        <v>117</v>
      </c>
      <c r="C34" s="39" t="n">
        <f aca="false">IFERROR(C32/C33,0)</f>
        <v>0.00895833333333333</v>
      </c>
      <c r="D34" s="39" t="n">
        <f aca="false">IFERROR(D32/D33,0)</f>
        <v>0.0091005291005291</v>
      </c>
      <c r="E34" s="39" t="n">
        <f aca="false">IFERROR(E32/E33,0)</f>
        <v>0.0103117505995204</v>
      </c>
      <c r="F34" s="39" t="n">
        <f aca="false">IFERROR(F32/F33,0)</f>
        <v>0.0120956399437412</v>
      </c>
      <c r="G34" s="39" t="n">
        <f aca="false">IFERROR(G32/G33,0)</f>
        <v>0.0134901960784314</v>
      </c>
    </row>
    <row r="35" customFormat="false" ht="15" hidden="false" customHeight="false" outlineLevel="0" collapsed="false">
      <c r="A35" s="40" t="s">
        <v>131</v>
      </c>
      <c r="B35" s="40" t="s">
        <v>117</v>
      </c>
      <c r="C35" s="41" t="n">
        <v>0.05</v>
      </c>
      <c r="D35" s="41" t="n">
        <v>0.07</v>
      </c>
      <c r="E35" s="41" t="n">
        <v>0.1</v>
      </c>
      <c r="F35" s="41" t="n">
        <v>0.12</v>
      </c>
      <c r="G35" s="41" t="n">
        <v>0.15</v>
      </c>
    </row>
    <row r="37" customFormat="false" ht="15" hidden="false" customHeight="false" outlineLevel="0" collapsed="false">
      <c r="A37" s="34" t="s">
        <v>125</v>
      </c>
      <c r="B37" s="33" t="s">
        <v>119</v>
      </c>
      <c r="C37" s="42" t="n">
        <f aca="false">'2. IF Underwriting'!B24*B6*B8*B12</f>
        <v>150000</v>
      </c>
      <c r="D37" s="42" t="n">
        <f aca="false">'2. IF Underwriting'!C24*B6*B8*B12</f>
        <v>375000</v>
      </c>
      <c r="E37" s="42" t="n">
        <f aca="false">'2. IF Underwriting'!D24*B6*B8*B12</f>
        <v>750000</v>
      </c>
      <c r="F37" s="42" t="n">
        <f aca="false">'2. IF Underwriting'!E24*B6*B8*B12</f>
        <v>1350000</v>
      </c>
      <c r="G37" s="42" t="n">
        <f aca="false">'2. IF Underwriting'!F24*B6*B8*B12</f>
        <v>2250000</v>
      </c>
    </row>
    <row r="38" customFormat="false" ht="15" hidden="false" customHeight="false" outlineLevel="0" collapsed="false">
      <c r="A38" s="34" t="s">
        <v>126</v>
      </c>
      <c r="B38" s="33" t="s">
        <v>119</v>
      </c>
      <c r="C38" s="42" t="n">
        <f aca="false">'2. IF Underwriting'!B24*B7*B13</f>
        <v>100000</v>
      </c>
      <c r="D38" s="42" t="n">
        <f aca="false">'2. IF Underwriting'!C24*B7*B13</f>
        <v>250000</v>
      </c>
      <c r="E38" s="42" t="n">
        <f aca="false">'2. IF Underwriting'!D24*B7*B13</f>
        <v>500000</v>
      </c>
      <c r="F38" s="42" t="n">
        <f aca="false">'2. IF Underwriting'!E24*B7*B13</f>
        <v>900000</v>
      </c>
      <c r="G38" s="42" t="n">
        <f aca="false">'2. IF Underwriting'!F24*B7*B13</f>
        <v>1500000</v>
      </c>
    </row>
    <row r="39" customFormat="false" ht="15" hidden="false" customHeight="false" outlineLevel="0" collapsed="false">
      <c r="A39" s="34" t="s">
        <v>127</v>
      </c>
      <c r="B39" s="33" t="s">
        <v>119</v>
      </c>
      <c r="C39" s="42" t="n">
        <f aca="false">'2. IF Underwriting'!B24*B11*B9*B10</f>
        <v>8000</v>
      </c>
      <c r="D39" s="42" t="n">
        <f aca="false">'2. IF Underwriting'!C24*B11*B9*B10</f>
        <v>20000</v>
      </c>
      <c r="E39" s="42" t="n">
        <f aca="false">'2. IF Underwriting'!D24*B11*B9*B10</f>
        <v>40000</v>
      </c>
      <c r="F39" s="42" t="n">
        <f aca="false">'2. IF Underwriting'!E24*B11*B9*B10</f>
        <v>72000</v>
      </c>
      <c r="G39" s="42" t="n">
        <f aca="false">'2. IF Underwriting'!F24*B11*B9*B10</f>
        <v>120000</v>
      </c>
    </row>
    <row r="40" customFormat="false" ht="15" hidden="false" customHeight="false" outlineLevel="0" collapsed="false">
      <c r="A40" s="33" t="s">
        <v>128</v>
      </c>
      <c r="B40" s="33" t="s">
        <v>119</v>
      </c>
      <c r="C40" s="43" t="n">
        <f aca="false">C37+C38+C39</f>
        <v>258000</v>
      </c>
      <c r="D40" s="43" t="n">
        <f aca="false">D37+D38+D39</f>
        <v>645000</v>
      </c>
      <c r="E40" s="43" t="n">
        <f aca="false">E37+E38+E39</f>
        <v>1290000</v>
      </c>
      <c r="F40" s="43" t="n">
        <f aca="false">F37+F38+F39</f>
        <v>2322000</v>
      </c>
      <c r="G40" s="43" t="n">
        <f aca="false">G37+G38+G39</f>
        <v>3870000</v>
      </c>
    </row>
    <row r="41" customFormat="false" ht="15" hidden="false" customHeight="false" outlineLevel="0" collapsed="false">
      <c r="A41" s="5" t="s">
        <v>129</v>
      </c>
      <c r="B41" s="15" t="s">
        <v>119</v>
      </c>
      <c r="C41" s="28" t="n">
        <v>14400000</v>
      </c>
      <c r="D41" s="28" t="n">
        <v>48600000</v>
      </c>
      <c r="E41" s="28" t="n">
        <v>125100000</v>
      </c>
      <c r="F41" s="28" t="n">
        <v>248850000</v>
      </c>
      <c r="G41" s="28" t="n">
        <v>420750000</v>
      </c>
    </row>
    <row r="42" customFormat="false" ht="15" hidden="false" customHeight="false" outlineLevel="0" collapsed="false">
      <c r="A42" s="16" t="s">
        <v>130</v>
      </c>
      <c r="B42" s="16" t="s">
        <v>119</v>
      </c>
      <c r="C42" s="39" t="n">
        <f aca="false">IFERROR(C40/C41,0)</f>
        <v>0.0179166666666667</v>
      </c>
      <c r="D42" s="39" t="n">
        <f aca="false">IFERROR(D40/D41,0)</f>
        <v>0.0132716049382716</v>
      </c>
      <c r="E42" s="39" t="n">
        <f aca="false">IFERROR(E40/E41,0)</f>
        <v>0.0103117505995204</v>
      </c>
      <c r="F42" s="39" t="n">
        <f aca="false">IFERROR(F40/F41,0)</f>
        <v>0.00933092224231465</v>
      </c>
      <c r="G42" s="39" t="n">
        <f aca="false">IFERROR(G40/G41,0)</f>
        <v>0.00919786096256684</v>
      </c>
    </row>
    <row r="43" customFormat="false" ht="15" hidden="false" customHeight="false" outlineLevel="0" collapsed="false">
      <c r="A43" s="40" t="s">
        <v>131</v>
      </c>
      <c r="B43" s="40" t="s">
        <v>119</v>
      </c>
      <c r="C43" s="41" t="n">
        <v>0.1</v>
      </c>
      <c r="D43" s="41" t="n">
        <v>0.2</v>
      </c>
      <c r="E43" s="41" t="n">
        <v>0.4</v>
      </c>
      <c r="F43" s="41" t="n">
        <v>0.7</v>
      </c>
      <c r="G43" s="41" t="n">
        <v>1.1</v>
      </c>
    </row>
    <row r="45" customFormat="false" ht="15" hidden="false" customHeight="false" outlineLevel="0" collapsed="false">
      <c r="A45" s="36" t="s">
        <v>125</v>
      </c>
      <c r="B45" s="35" t="s">
        <v>121</v>
      </c>
      <c r="C45" s="44" t="n">
        <f aca="false">'2. IF Underwriting'!B25*B6*B8*B12</f>
        <v>375000</v>
      </c>
      <c r="D45" s="44" t="n">
        <f aca="false">'2. IF Underwriting'!C25*B6*B8*B12</f>
        <v>1125000</v>
      </c>
      <c r="E45" s="44" t="n">
        <f aca="false">'2. IF Underwriting'!D25*B6*B8*B12</f>
        <v>2625000</v>
      </c>
      <c r="F45" s="44" t="n">
        <f aca="false">'2. IF Underwriting'!E25*B6*B8*B12</f>
        <v>5250000</v>
      </c>
      <c r="G45" s="44" t="n">
        <f aca="false">'2. IF Underwriting'!F25*B6*B8*B12</f>
        <v>9000000</v>
      </c>
    </row>
    <row r="46" customFormat="false" ht="15" hidden="false" customHeight="false" outlineLevel="0" collapsed="false">
      <c r="A46" s="36" t="s">
        <v>126</v>
      </c>
      <c r="B46" s="35" t="s">
        <v>121</v>
      </c>
      <c r="C46" s="44" t="n">
        <f aca="false">'2. IF Underwriting'!B25*B7*B13</f>
        <v>250000</v>
      </c>
      <c r="D46" s="44" t="n">
        <f aca="false">'2. IF Underwriting'!C25*B7*B13</f>
        <v>750000</v>
      </c>
      <c r="E46" s="44" t="n">
        <f aca="false">'2. IF Underwriting'!D25*B7*B13</f>
        <v>1750000</v>
      </c>
      <c r="F46" s="44" t="n">
        <f aca="false">'2. IF Underwriting'!E25*B7*B13</f>
        <v>3500000</v>
      </c>
      <c r="G46" s="44" t="n">
        <f aca="false">'2. IF Underwriting'!F25*B7*B13</f>
        <v>6000000</v>
      </c>
    </row>
    <row r="47" customFormat="false" ht="15" hidden="false" customHeight="false" outlineLevel="0" collapsed="false">
      <c r="A47" s="36" t="s">
        <v>127</v>
      </c>
      <c r="B47" s="35" t="s">
        <v>121</v>
      </c>
      <c r="C47" s="44" t="n">
        <f aca="false">'2. IF Underwriting'!B25*B11*B9*B10</f>
        <v>20000</v>
      </c>
      <c r="D47" s="44" t="n">
        <f aca="false">'2. IF Underwriting'!C25*B11*B9*B10</f>
        <v>60000</v>
      </c>
      <c r="E47" s="44" t="n">
        <f aca="false">'2. IF Underwriting'!D25*B11*B9*B10</f>
        <v>140000</v>
      </c>
      <c r="F47" s="44" t="n">
        <f aca="false">'2. IF Underwriting'!E25*B11*B9*B10</f>
        <v>280000</v>
      </c>
      <c r="G47" s="44" t="n">
        <f aca="false">'2. IF Underwriting'!F25*B11*B9*B10</f>
        <v>480000</v>
      </c>
    </row>
    <row r="48" customFormat="false" ht="15" hidden="false" customHeight="false" outlineLevel="0" collapsed="false">
      <c r="A48" s="35" t="s">
        <v>128</v>
      </c>
      <c r="B48" s="35" t="s">
        <v>121</v>
      </c>
      <c r="C48" s="45" t="n">
        <f aca="false">C45+C46+C47</f>
        <v>645000</v>
      </c>
      <c r="D48" s="45" t="n">
        <f aca="false">D45+D46+D47</f>
        <v>1935000</v>
      </c>
      <c r="E48" s="45" t="n">
        <f aca="false">E45+E46+E47</f>
        <v>4515000</v>
      </c>
      <c r="F48" s="45" t="n">
        <f aca="false">F45+F46+F47</f>
        <v>9030000</v>
      </c>
      <c r="G48" s="45" t="n">
        <f aca="false">G45+G46+G47</f>
        <v>15480000</v>
      </c>
    </row>
    <row r="49" customFormat="false" ht="15" hidden="false" customHeight="false" outlineLevel="0" collapsed="false">
      <c r="A49" s="5" t="s">
        <v>129</v>
      </c>
      <c r="B49" s="15" t="s">
        <v>121</v>
      </c>
      <c r="C49" s="28" t="n">
        <v>28800000</v>
      </c>
      <c r="D49" s="28" t="n">
        <v>145800000</v>
      </c>
      <c r="E49" s="28" t="n">
        <v>469125000</v>
      </c>
      <c r="F49" s="28" t="n">
        <v>1066500000</v>
      </c>
      <c r="G49" s="28" t="n">
        <v>2103750000</v>
      </c>
    </row>
    <row r="50" customFormat="false" ht="15" hidden="false" customHeight="false" outlineLevel="0" collapsed="false">
      <c r="A50" s="16" t="s">
        <v>130</v>
      </c>
      <c r="B50" s="16" t="s">
        <v>121</v>
      </c>
      <c r="C50" s="39" t="n">
        <f aca="false">IFERROR(C48/C49,0)</f>
        <v>0.0223958333333333</v>
      </c>
      <c r="D50" s="39" t="n">
        <f aca="false">IFERROR(D48/D49,0)</f>
        <v>0.0132716049382716</v>
      </c>
      <c r="E50" s="39" t="n">
        <f aca="false">IFERROR(E48/E49,0)</f>
        <v>0.00962430055955236</v>
      </c>
      <c r="F50" s="39" t="n">
        <f aca="false">IFERROR(F48/F49,0)</f>
        <v>0.00846694796061885</v>
      </c>
      <c r="G50" s="39" t="n">
        <f aca="false">IFERROR(G48/G49,0)</f>
        <v>0.00735828877005348</v>
      </c>
    </row>
    <row r="51" customFormat="false" ht="15" hidden="false" customHeight="false" outlineLevel="0" collapsed="false">
      <c r="A51" s="40" t="s">
        <v>131</v>
      </c>
      <c r="B51" s="40" t="s">
        <v>121</v>
      </c>
      <c r="C51" s="41" t="n">
        <v>0.2</v>
      </c>
      <c r="D51" s="41" t="n">
        <v>0.6</v>
      </c>
      <c r="E51" s="41" t="n">
        <v>1.5</v>
      </c>
      <c r="F51" s="41" t="n">
        <v>3</v>
      </c>
      <c r="G51" s="41" t="n">
        <v>5.5</v>
      </c>
    </row>
    <row r="53" customFormat="false" ht="15" hidden="false" customHeight="false" outlineLevel="0" collapsed="false">
      <c r="A53" s="46" t="s">
        <v>132</v>
      </c>
      <c r="B53" s="46"/>
      <c r="C53" s="46"/>
      <c r="D53" s="46"/>
      <c r="E53" s="46"/>
      <c r="F53" s="46"/>
      <c r="G53" s="46"/>
      <c r="H53" s="46"/>
      <c r="I53" s="46"/>
    </row>
    <row r="55" customFormat="false" ht="15" hidden="false" customHeight="false" outlineLevel="0" collapsed="false">
      <c r="A55" s="3" t="s">
        <v>133</v>
      </c>
      <c r="B55" s="3"/>
      <c r="C55" s="3"/>
      <c r="D55" s="3"/>
      <c r="E55" s="3"/>
      <c r="F55" s="3"/>
      <c r="G55" s="3"/>
      <c r="H55" s="3"/>
      <c r="I55" s="3"/>
    </row>
    <row r="56" customFormat="false" ht="30" hidden="false" customHeight="true" outlineLevel="0" collapsed="false">
      <c r="A56" s="47" t="s">
        <v>134</v>
      </c>
      <c r="B56" s="47"/>
      <c r="C56" s="47"/>
      <c r="D56" s="47"/>
      <c r="E56" s="47"/>
      <c r="F56" s="47"/>
      <c r="G56" s="47"/>
      <c r="H56" s="47"/>
      <c r="I56" s="47"/>
    </row>
    <row r="58" customFormat="false" ht="15" hidden="false" customHeight="false" outlineLevel="0" collapsed="false">
      <c r="A58" s="4" t="s">
        <v>124</v>
      </c>
      <c r="B58" s="4" t="s">
        <v>74</v>
      </c>
      <c r="C58" s="4" t="s">
        <v>75</v>
      </c>
      <c r="D58" s="4" t="s">
        <v>10</v>
      </c>
      <c r="E58" s="4"/>
      <c r="F58" s="4"/>
      <c r="G58" s="4"/>
      <c r="H58" s="4"/>
      <c r="I58" s="4"/>
    </row>
    <row r="59" customFormat="false" ht="15" hidden="false" customHeight="false" outlineLevel="0" collapsed="false">
      <c r="A59" s="26" t="s">
        <v>135</v>
      </c>
      <c r="B59" s="28" t="n">
        <v>100000</v>
      </c>
      <c r="C59" s="26" t="s">
        <v>99</v>
      </c>
      <c r="D59" s="26" t="s">
        <v>136</v>
      </c>
      <c r="E59" s="26"/>
      <c r="F59" s="26"/>
      <c r="G59" s="26"/>
      <c r="H59" s="26"/>
      <c r="I59" s="26"/>
    </row>
    <row r="60" customFormat="false" ht="15" hidden="false" customHeight="false" outlineLevel="0" collapsed="false">
      <c r="A60" s="26" t="s">
        <v>137</v>
      </c>
      <c r="B60" s="28" t="n">
        <v>100000</v>
      </c>
      <c r="C60" s="26" t="s">
        <v>99</v>
      </c>
      <c r="D60" s="26" t="s">
        <v>138</v>
      </c>
      <c r="E60" s="26"/>
      <c r="F60" s="26"/>
      <c r="G60" s="26"/>
      <c r="H60" s="26"/>
      <c r="I60" s="26"/>
    </row>
    <row r="61" customFormat="false" ht="15" hidden="false" customHeight="false" outlineLevel="0" collapsed="false">
      <c r="A61" s="5" t="s">
        <v>139</v>
      </c>
      <c r="B61" s="30" t="n">
        <f aca="false">B59*B6</f>
        <v>500</v>
      </c>
      <c r="C61" s="5" t="s">
        <v>140</v>
      </c>
      <c r="D61" s="5" t="s">
        <v>141</v>
      </c>
      <c r="E61" s="5"/>
      <c r="F61" s="5"/>
      <c r="G61" s="5"/>
      <c r="H61" s="5"/>
      <c r="I61" s="5"/>
    </row>
    <row r="62" customFormat="false" ht="15" hidden="false" customHeight="false" outlineLevel="0" collapsed="false">
      <c r="A62" s="5" t="s">
        <v>142</v>
      </c>
      <c r="B62" s="30" t="n">
        <f aca="false">B59*B7</f>
        <v>100</v>
      </c>
      <c r="C62" s="5" t="s">
        <v>140</v>
      </c>
      <c r="D62" s="5" t="s">
        <v>143</v>
      </c>
      <c r="E62" s="5"/>
      <c r="F62" s="5"/>
      <c r="G62" s="5"/>
      <c r="H62" s="5"/>
      <c r="I62" s="5"/>
    </row>
    <row r="63" customFormat="false" ht="15" hidden="false" customHeight="false" outlineLevel="0" collapsed="false">
      <c r="A63" s="16" t="s">
        <v>144</v>
      </c>
      <c r="B63" s="48" t="n">
        <f aca="false">B61+B62</f>
        <v>600</v>
      </c>
      <c r="C63" s="16" t="s">
        <v>140</v>
      </c>
      <c r="D63" s="16" t="s">
        <v>145</v>
      </c>
      <c r="E63" s="16"/>
      <c r="F63" s="16"/>
      <c r="G63" s="16"/>
      <c r="H63" s="16"/>
      <c r="I63" s="16"/>
    </row>
    <row r="65" customFormat="false" ht="15" hidden="false" customHeight="false" outlineLevel="0" collapsed="false">
      <c r="A65" s="4" t="s">
        <v>146</v>
      </c>
      <c r="B65" s="4" t="s">
        <v>147</v>
      </c>
      <c r="C65" s="4" t="s">
        <v>148</v>
      </c>
      <c r="D65" s="4" t="s">
        <v>149</v>
      </c>
      <c r="E65" s="4" t="s">
        <v>150</v>
      </c>
      <c r="F65" s="4" t="s">
        <v>151</v>
      </c>
      <c r="G65" s="4" t="s">
        <v>75</v>
      </c>
      <c r="H65" s="4"/>
      <c r="I65" s="4"/>
    </row>
    <row r="66" customFormat="false" ht="15" hidden="false" customHeight="false" outlineLevel="0" collapsed="false">
      <c r="A66" s="49" t="s">
        <v>152</v>
      </c>
      <c r="B66" s="50" t="n">
        <f aca="false">200000000*(B6*B8+B7)*B12</f>
        <v>250000</v>
      </c>
      <c r="C66" s="50" t="n">
        <f aca="false">500000000*(B6*B8+B7)*B12</f>
        <v>625000</v>
      </c>
      <c r="D66" s="50" t="n">
        <f aca="false">1000000000*(B6*B8+B7)*B12</f>
        <v>1250000</v>
      </c>
      <c r="E66" s="50" t="n">
        <f aca="false">1800000000*(B6*B8+B7)*B12</f>
        <v>2250000</v>
      </c>
      <c r="F66" s="50" t="n">
        <f aca="false">3000000000*(B6*B8+B7)*B12</f>
        <v>3750000</v>
      </c>
      <c r="G66" s="49" t="s">
        <v>140</v>
      </c>
      <c r="H66" s="49"/>
      <c r="I66" s="49"/>
    </row>
    <row r="67" customFormat="false" ht="15" hidden="false" customHeight="false" outlineLevel="0" collapsed="false">
      <c r="A67" s="49" t="s">
        <v>153</v>
      </c>
      <c r="B67" s="50" t="n">
        <f aca="false">B60*0.011</f>
        <v>1100</v>
      </c>
      <c r="C67" s="50" t="n">
        <f aca="false">B60*0.019</f>
        <v>1900</v>
      </c>
      <c r="D67" s="50" t="n">
        <f aca="false">B60*0.023</f>
        <v>2300</v>
      </c>
      <c r="E67" s="50" t="n">
        <f aca="false">B60*0.025</f>
        <v>2500</v>
      </c>
      <c r="F67" s="50" t="n">
        <f aca="false">B60*0.028</f>
        <v>2800</v>
      </c>
      <c r="G67" s="49" t="s">
        <v>140</v>
      </c>
      <c r="H67" s="49"/>
      <c r="I67" s="49"/>
    </row>
    <row r="68" customFormat="false" ht="15" hidden="false" customHeight="false" outlineLevel="0" collapsed="false">
      <c r="A68" s="33" t="s">
        <v>154</v>
      </c>
      <c r="B68" s="43" t="n">
        <f aca="false">B67-B63</f>
        <v>500</v>
      </c>
      <c r="C68" s="43" t="n">
        <f aca="false">C67-B63</f>
        <v>1300</v>
      </c>
      <c r="D68" s="43" t="n">
        <f aca="false">D67-B63</f>
        <v>1700</v>
      </c>
      <c r="E68" s="43" t="n">
        <f aca="false">E67-B63</f>
        <v>1900</v>
      </c>
      <c r="F68" s="43" t="n">
        <f aca="false">F67-B63</f>
        <v>2200</v>
      </c>
      <c r="G68" s="33" t="s">
        <v>155</v>
      </c>
      <c r="H68" s="33"/>
      <c r="I68" s="33"/>
    </row>
    <row r="70" customFormat="false" ht="30" hidden="false" customHeight="true" outlineLevel="0" collapsed="false">
      <c r="A70" s="47" t="s">
        <v>156</v>
      </c>
      <c r="B70" s="47"/>
      <c r="C70" s="47"/>
      <c r="D70" s="47"/>
      <c r="E70" s="47"/>
      <c r="F70" s="47"/>
      <c r="G70" s="47"/>
      <c r="H70" s="47"/>
      <c r="I70" s="47"/>
    </row>
  </sheetData>
  <mergeCells count="23">
    <mergeCell ref="A1:I1"/>
    <mergeCell ref="A2:I2"/>
    <mergeCell ref="A4:D4"/>
    <mergeCell ref="A21:I21"/>
    <mergeCell ref="G22:I22"/>
    <mergeCell ref="G23:I23"/>
    <mergeCell ref="G24:I24"/>
    <mergeCell ref="G25:I25"/>
    <mergeCell ref="A27:I27"/>
    <mergeCell ref="A53:I53"/>
    <mergeCell ref="A55:I55"/>
    <mergeCell ref="A56:I56"/>
    <mergeCell ref="D58:I58"/>
    <mergeCell ref="D59:I59"/>
    <mergeCell ref="D60:I60"/>
    <mergeCell ref="D61:I61"/>
    <mergeCell ref="D62:I62"/>
    <mergeCell ref="D63:I63"/>
    <mergeCell ref="G65:I65"/>
    <mergeCell ref="G66:I66"/>
    <mergeCell ref="G67:I67"/>
    <mergeCell ref="G68:I68"/>
    <mergeCell ref="A70:I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7" min="4" style="0" width="18"/>
    <col collapsed="false" customWidth="true" hidden="false" outlineLevel="0" max="10" min="8" style="0" width="16"/>
  </cols>
  <sheetData>
    <row r="1" customFormat="false" ht="27.75" hidden="false" customHeight="true" outlineLevel="0" collapsed="false">
      <c r="A1" s="1" t="s">
        <v>157</v>
      </c>
      <c r="B1" s="1"/>
      <c r="C1" s="1"/>
      <c r="D1" s="1"/>
      <c r="E1" s="1"/>
      <c r="F1" s="1"/>
      <c r="G1" s="1"/>
      <c r="H1" s="1"/>
      <c r="I1" s="1"/>
      <c r="J1" s="1"/>
    </row>
    <row r="2" customFormat="false" ht="15" hidden="false" customHeight="false" outlineLevel="0" collapsed="false">
      <c r="A2" s="2" t="s">
        <v>158</v>
      </c>
      <c r="B2" s="2"/>
      <c r="C2" s="2"/>
      <c r="D2" s="2"/>
      <c r="E2" s="2"/>
      <c r="F2" s="2"/>
      <c r="G2" s="2"/>
      <c r="H2" s="2"/>
      <c r="I2" s="2"/>
      <c r="J2" s="2"/>
    </row>
    <row r="4" customFormat="false" ht="15" hidden="false" customHeight="false" outlineLevel="0" collapsed="false">
      <c r="A4" s="3" t="s">
        <v>159</v>
      </c>
      <c r="B4" s="3"/>
      <c r="C4" s="3"/>
      <c r="D4" s="3"/>
      <c r="E4" s="3"/>
      <c r="F4" s="3"/>
      <c r="G4" s="3"/>
      <c r="H4" s="3"/>
      <c r="I4" s="3"/>
      <c r="J4" s="3"/>
    </row>
    <row r="5" customFormat="false" ht="15" hidden="false" customHeight="false" outlineLevel="0" collapsed="false">
      <c r="A5" s="4" t="s">
        <v>73</v>
      </c>
      <c r="B5" s="4" t="s">
        <v>74</v>
      </c>
      <c r="C5" s="4" t="s">
        <v>75</v>
      </c>
      <c r="D5" s="4" t="s">
        <v>10</v>
      </c>
      <c r="E5" s="4"/>
      <c r="F5" s="4"/>
      <c r="G5" s="4"/>
      <c r="H5" s="4"/>
      <c r="I5" s="4"/>
      <c r="J5" s="4"/>
    </row>
    <row r="6" customFormat="false" ht="15" hidden="false" customHeight="false" outlineLevel="0" collapsed="false">
      <c r="A6" s="26" t="s">
        <v>76</v>
      </c>
      <c r="B6" s="27" t="n">
        <v>0.005</v>
      </c>
      <c r="C6" s="26" t="s">
        <v>88</v>
      </c>
      <c r="D6" s="26" t="s">
        <v>160</v>
      </c>
      <c r="E6" s="26"/>
      <c r="F6" s="26"/>
      <c r="G6" s="26"/>
      <c r="H6" s="26"/>
      <c r="I6" s="26"/>
      <c r="J6" s="26"/>
    </row>
    <row r="7" customFormat="false" ht="15" hidden="false" customHeight="false" outlineLevel="0" collapsed="false">
      <c r="A7" s="26" t="s">
        <v>161</v>
      </c>
      <c r="B7" s="27" t="n">
        <v>0.001</v>
      </c>
      <c r="C7" s="26" t="s">
        <v>80</v>
      </c>
      <c r="D7" s="26" t="s">
        <v>162</v>
      </c>
      <c r="E7" s="26"/>
      <c r="F7" s="26"/>
      <c r="G7" s="26"/>
      <c r="H7" s="26"/>
      <c r="I7" s="26"/>
      <c r="J7" s="26"/>
    </row>
    <row r="8" customFormat="false" ht="15" hidden="false" customHeight="false" outlineLevel="0" collapsed="false">
      <c r="A8" s="26" t="s">
        <v>163</v>
      </c>
      <c r="B8" s="27" t="n">
        <v>0.3</v>
      </c>
      <c r="C8" s="26" t="s">
        <v>80</v>
      </c>
      <c r="D8" s="26" t="s">
        <v>164</v>
      </c>
      <c r="E8" s="26"/>
      <c r="F8" s="26"/>
      <c r="G8" s="26"/>
      <c r="H8" s="26"/>
      <c r="I8" s="26"/>
      <c r="J8" s="26"/>
    </row>
    <row r="9" customFormat="false" ht="15" hidden="false" customHeight="false" outlineLevel="0" collapsed="false">
      <c r="A9" s="26" t="s">
        <v>165</v>
      </c>
      <c r="B9" s="27" t="n">
        <v>0.1</v>
      </c>
      <c r="C9" s="26" t="s">
        <v>88</v>
      </c>
      <c r="D9" s="26" t="s">
        <v>166</v>
      </c>
      <c r="E9" s="26"/>
      <c r="F9" s="26"/>
      <c r="G9" s="26"/>
      <c r="H9" s="26"/>
      <c r="I9" s="26"/>
      <c r="J9" s="26"/>
    </row>
    <row r="10" customFormat="false" ht="15" hidden="false" customHeight="false" outlineLevel="0" collapsed="false">
      <c r="A10" s="26" t="s">
        <v>90</v>
      </c>
      <c r="B10" s="27" t="n">
        <v>0.02</v>
      </c>
      <c r="C10" s="26" t="s">
        <v>80</v>
      </c>
      <c r="D10" s="26" t="s">
        <v>167</v>
      </c>
      <c r="E10" s="26"/>
      <c r="F10" s="26"/>
      <c r="G10" s="26"/>
      <c r="H10" s="26"/>
      <c r="I10" s="26"/>
      <c r="J10" s="26"/>
    </row>
    <row r="11" customFormat="false" ht="15" hidden="false" customHeight="false" outlineLevel="0" collapsed="false">
      <c r="A11" s="26" t="s">
        <v>168</v>
      </c>
      <c r="B11" s="27" t="n">
        <v>0.02</v>
      </c>
      <c r="C11" s="26" t="s">
        <v>85</v>
      </c>
      <c r="D11" s="26" t="s">
        <v>169</v>
      </c>
      <c r="E11" s="26"/>
      <c r="F11" s="26"/>
      <c r="G11" s="26"/>
      <c r="H11" s="26"/>
      <c r="I11" s="26"/>
      <c r="J11" s="26"/>
    </row>
    <row r="12" customFormat="false" ht="15" hidden="false" customHeight="false" outlineLevel="0" collapsed="false">
      <c r="A12" s="26" t="s">
        <v>170</v>
      </c>
      <c r="B12" s="27" t="n">
        <v>0.5</v>
      </c>
      <c r="C12" s="26" t="s">
        <v>88</v>
      </c>
      <c r="D12" s="26" t="s">
        <v>171</v>
      </c>
      <c r="E12" s="26"/>
      <c r="F12" s="26"/>
      <c r="G12" s="26"/>
      <c r="H12" s="26"/>
      <c r="I12" s="26"/>
      <c r="J12" s="26"/>
    </row>
    <row r="14" customFormat="false" ht="15" hidden="false" customHeight="false" outlineLevel="0" collapsed="false">
      <c r="A14" s="3" t="s">
        <v>172</v>
      </c>
      <c r="B14" s="3"/>
      <c r="C14" s="3"/>
      <c r="D14" s="3"/>
      <c r="E14" s="3"/>
      <c r="F14" s="3"/>
      <c r="G14" s="3"/>
      <c r="H14" s="3"/>
      <c r="I14" s="3"/>
      <c r="J14" s="3"/>
    </row>
    <row r="15" customFormat="false" ht="15" hidden="false" customHeight="false" outlineLevel="0" collapsed="false">
      <c r="A15" s="4" t="s">
        <v>33</v>
      </c>
      <c r="B15" s="4" t="s">
        <v>173</v>
      </c>
      <c r="C15" s="4" t="s">
        <v>174</v>
      </c>
      <c r="D15" s="4" t="s">
        <v>175</v>
      </c>
      <c r="E15" s="4" t="s">
        <v>176</v>
      </c>
      <c r="F15" s="4" t="s">
        <v>177</v>
      </c>
      <c r="G15" s="4" t="s">
        <v>178</v>
      </c>
      <c r="H15" s="4" t="s">
        <v>179</v>
      </c>
      <c r="I15" s="4" t="s">
        <v>180</v>
      </c>
      <c r="J15" s="4" t="s">
        <v>181</v>
      </c>
    </row>
    <row r="16" customFormat="false" ht="15" hidden="false" customHeight="false" outlineLevel="0" collapsed="false">
      <c r="A16" s="51" t="n">
        <v>1</v>
      </c>
      <c r="B16" s="52" t="n">
        <v>8487654.32</v>
      </c>
      <c r="C16" s="52" t="n">
        <v>8487654.32</v>
      </c>
      <c r="D16" s="52" t="n">
        <v>43499.23</v>
      </c>
      <c r="E16" s="52" t="n">
        <v>707.3</v>
      </c>
      <c r="F16" s="52" t="n">
        <v>28.29</v>
      </c>
      <c r="G16" s="52" t="n">
        <v>44234.83</v>
      </c>
      <c r="H16" s="52" t="n">
        <v>22117.41</v>
      </c>
      <c r="I16" s="52" t="n">
        <v>22117.41</v>
      </c>
      <c r="J16" s="52" t="n">
        <f aca="false">SUM(G16)</f>
        <v>44234.83</v>
      </c>
    </row>
    <row r="17" customFormat="false" ht="15" hidden="false" customHeight="false" outlineLevel="0" collapsed="false">
      <c r="A17" s="53" t="n">
        <v>2</v>
      </c>
      <c r="B17" s="30" t="n">
        <v>23102720.29</v>
      </c>
      <c r="C17" s="30" t="n">
        <v>14615065.97</v>
      </c>
      <c r="D17" s="30" t="n">
        <v>75963.17</v>
      </c>
      <c r="E17" s="30" t="n">
        <v>1925.23</v>
      </c>
      <c r="F17" s="30" t="n">
        <v>77.01</v>
      </c>
      <c r="G17" s="30" t="n">
        <v>77965.41</v>
      </c>
      <c r="H17" s="30" t="n">
        <v>38982.7</v>
      </c>
      <c r="I17" s="30" t="n">
        <v>38982.7</v>
      </c>
      <c r="J17" s="30" t="n">
        <f aca="false">SUM(G16:G17)</f>
        <v>122200.24</v>
      </c>
    </row>
    <row r="18" customFormat="false" ht="15" hidden="false" customHeight="false" outlineLevel="0" collapsed="false">
      <c r="A18" s="51" t="n">
        <v>3</v>
      </c>
      <c r="B18" s="52" t="n">
        <v>41168077.99</v>
      </c>
      <c r="C18" s="52" t="n">
        <v>18065357.7</v>
      </c>
      <c r="D18" s="52" t="n">
        <v>95472.8</v>
      </c>
      <c r="E18" s="52" t="n">
        <v>3430.67</v>
      </c>
      <c r="F18" s="52" t="n">
        <v>137.23</v>
      </c>
      <c r="G18" s="52" t="n">
        <v>99040.7</v>
      </c>
      <c r="H18" s="52" t="n">
        <v>49520.35</v>
      </c>
      <c r="I18" s="52" t="n">
        <v>49520.35</v>
      </c>
      <c r="J18" s="52" t="n">
        <f aca="false">SUM(G16:G18)</f>
        <v>221240.94</v>
      </c>
    </row>
    <row r="19" customFormat="false" ht="15" hidden="false" customHeight="false" outlineLevel="0" collapsed="false">
      <c r="A19" s="53" t="n">
        <v>4</v>
      </c>
      <c r="B19" s="30" t="n">
        <v>61728395.06</v>
      </c>
      <c r="C19" s="30" t="n">
        <v>20560317.07</v>
      </c>
      <c r="D19" s="30" t="n">
        <v>110517.63</v>
      </c>
      <c r="E19" s="30" t="n">
        <v>5144.03</v>
      </c>
      <c r="F19" s="30" t="n">
        <v>205.76</v>
      </c>
      <c r="G19" s="30" t="n">
        <v>115867.43</v>
      </c>
      <c r="H19" s="30" t="n">
        <v>57933.71</v>
      </c>
      <c r="I19" s="30" t="n">
        <v>57933.71</v>
      </c>
      <c r="J19" s="30" t="n">
        <f aca="false">SUM(G16:G19)</f>
        <v>337108.37</v>
      </c>
    </row>
    <row r="20" customFormat="false" ht="15" hidden="false" customHeight="false" outlineLevel="0" collapsed="false">
      <c r="A20" s="51" t="n">
        <v>5</v>
      </c>
      <c r="B20" s="52" t="n">
        <v>84231542.17</v>
      </c>
      <c r="C20" s="52" t="n">
        <v>22503147.11</v>
      </c>
      <c r="D20" s="52" t="n">
        <v>123044.68</v>
      </c>
      <c r="E20" s="52" t="n">
        <v>7019.3</v>
      </c>
      <c r="F20" s="52" t="n">
        <v>280.77</v>
      </c>
      <c r="G20" s="52" t="n">
        <v>130344.75</v>
      </c>
      <c r="H20" s="52" t="n">
        <v>65172.37</v>
      </c>
      <c r="I20" s="52" t="n">
        <v>65172.37</v>
      </c>
      <c r="J20" s="52" t="n">
        <f aca="false">SUM(G16:G20)</f>
        <v>467453.12</v>
      </c>
    </row>
    <row r="21" customFormat="false" ht="15" hidden="false" customHeight="false" outlineLevel="0" collapsed="false">
      <c r="A21" s="53" t="n">
        <v>6</v>
      </c>
      <c r="B21" s="30" t="n">
        <v>108304985.71</v>
      </c>
      <c r="C21" s="30" t="n">
        <v>24073443.54</v>
      </c>
      <c r="D21" s="30" t="n">
        <v>133905.34</v>
      </c>
      <c r="E21" s="30" t="n">
        <v>9025.42</v>
      </c>
      <c r="F21" s="30" t="n">
        <v>361.02</v>
      </c>
      <c r="G21" s="30" t="n">
        <v>143291.77</v>
      </c>
      <c r="H21" s="30" t="n">
        <v>71645.89</v>
      </c>
      <c r="I21" s="30" t="n">
        <v>71645.89</v>
      </c>
      <c r="J21" s="30" t="n">
        <f aca="false">SUM(G16:G21)</f>
        <v>610744.89</v>
      </c>
    </row>
    <row r="22" customFormat="false" ht="15" hidden="false" customHeight="false" outlineLevel="0" collapsed="false">
      <c r="A22" s="51" t="n">
        <v>7</v>
      </c>
      <c r="B22" s="52" t="n">
        <v>133675239.3</v>
      </c>
      <c r="C22" s="52" t="n">
        <v>25370253.59</v>
      </c>
      <c r="D22" s="52" t="n">
        <v>143560.67</v>
      </c>
      <c r="E22" s="52" t="n">
        <v>11139.6</v>
      </c>
      <c r="F22" s="52" t="n">
        <v>445.58</v>
      </c>
      <c r="G22" s="52" t="n">
        <v>155145.86</v>
      </c>
      <c r="H22" s="52" t="n">
        <v>77572.93</v>
      </c>
      <c r="I22" s="52" t="n">
        <v>77572.93</v>
      </c>
      <c r="J22" s="52" t="n">
        <f aca="false">SUM(G16:G22)</f>
        <v>765890.75</v>
      </c>
    </row>
    <row r="23" customFormat="false" ht="15" hidden="false" customHeight="false" outlineLevel="0" collapsed="false">
      <c r="A23" s="53" t="n">
        <v>8</v>
      </c>
      <c r="B23" s="30" t="n">
        <v>160130404.3</v>
      </c>
      <c r="C23" s="30" t="n">
        <v>26455165</v>
      </c>
      <c r="D23" s="30" t="n">
        <v>152292.13</v>
      </c>
      <c r="E23" s="30" t="n">
        <v>13344.2</v>
      </c>
      <c r="F23" s="30" t="n">
        <v>533.77</v>
      </c>
      <c r="G23" s="30" t="n">
        <v>166170.09</v>
      </c>
      <c r="H23" s="30" t="n">
        <v>83085.05</v>
      </c>
      <c r="I23" s="30" t="n">
        <v>83085.05</v>
      </c>
      <c r="J23" s="30" t="n">
        <f aca="false">SUM(G16:G23)</f>
        <v>932060.84</v>
      </c>
    </row>
    <row r="24" customFormat="false" ht="15" hidden="false" customHeight="false" outlineLevel="0" collapsed="false">
      <c r="A24" s="51" t="n">
        <v>9</v>
      </c>
      <c r="B24" s="52" t="n">
        <v>187500000</v>
      </c>
      <c r="C24" s="52" t="n">
        <v>27369595.7</v>
      </c>
      <c r="D24" s="52" t="n">
        <v>160285.48</v>
      </c>
      <c r="E24" s="52" t="n">
        <v>15625</v>
      </c>
      <c r="F24" s="52" t="n">
        <v>625</v>
      </c>
      <c r="G24" s="52" t="n">
        <v>176535.48</v>
      </c>
      <c r="H24" s="52" t="n">
        <v>88267.74</v>
      </c>
      <c r="I24" s="52" t="n">
        <v>88267.74</v>
      </c>
      <c r="J24" s="52" t="n">
        <f aca="false">SUM(G16:G24)</f>
        <v>1108596.32</v>
      </c>
    </row>
    <row r="25" customFormat="false" ht="15" hidden="false" customHeight="false" outlineLevel="0" collapsed="false">
      <c r="A25" s="53" t="n">
        <v>10</v>
      </c>
      <c r="B25" s="30" t="n">
        <v>215642993.23</v>
      </c>
      <c r="C25" s="30" t="n">
        <v>28142993.23</v>
      </c>
      <c r="D25" s="30" t="n">
        <v>167670.34</v>
      </c>
      <c r="E25" s="30" t="n">
        <v>17970.25</v>
      </c>
      <c r="F25" s="30" t="n">
        <v>718.81</v>
      </c>
      <c r="G25" s="30" t="n">
        <v>186359.4</v>
      </c>
      <c r="H25" s="30" t="n">
        <v>93179.7</v>
      </c>
      <c r="I25" s="30" t="n">
        <v>93179.7</v>
      </c>
      <c r="J25" s="30" t="n">
        <f aca="false">SUM(G16:G25)</f>
        <v>1294955.72</v>
      </c>
    </row>
    <row r="26" customFormat="false" ht="15" hidden="false" customHeight="false" outlineLevel="0" collapsed="false">
      <c r="A26" s="51" t="n">
        <v>11</v>
      </c>
      <c r="B26" s="52" t="n">
        <v>244440179.26</v>
      </c>
      <c r="C26" s="52" t="n">
        <v>28797186.04</v>
      </c>
      <c r="D26" s="52" t="n">
        <v>174540.95</v>
      </c>
      <c r="E26" s="52" t="n">
        <v>20370.01</v>
      </c>
      <c r="F26" s="52" t="n">
        <v>814.8</v>
      </c>
      <c r="G26" s="52" t="n">
        <v>195725.77</v>
      </c>
      <c r="H26" s="52" t="n">
        <v>97862.88</v>
      </c>
      <c r="I26" s="52" t="n">
        <v>97862.88</v>
      </c>
      <c r="J26" s="52" t="n">
        <f aca="false">SUM(G16:G26)</f>
        <v>1490681.49</v>
      </c>
    </row>
    <row r="27" customFormat="false" ht="15" hidden="false" customHeight="false" outlineLevel="0" collapsed="false">
      <c r="A27" s="53" t="n">
        <v>12</v>
      </c>
      <c r="B27" s="30" t="n">
        <v>273789068.35</v>
      </c>
      <c r="C27" s="30" t="n">
        <v>29348889.08</v>
      </c>
      <c r="D27" s="30" t="n">
        <v>180968.08</v>
      </c>
      <c r="E27" s="30" t="n">
        <v>22815.76</v>
      </c>
      <c r="F27" s="30" t="n">
        <v>912.63</v>
      </c>
      <c r="G27" s="30" t="n">
        <v>204696.46</v>
      </c>
      <c r="H27" s="30" t="n">
        <v>102348.23</v>
      </c>
      <c r="I27" s="30" t="n">
        <v>102348.23</v>
      </c>
      <c r="J27" s="30" t="n">
        <f aca="false">SUM(G16:G27)</f>
        <v>1695377.95</v>
      </c>
    </row>
    <row r="28" customFormat="false" ht="15" hidden="false" customHeight="false" outlineLevel="0" collapsed="false">
      <c r="A28" s="51" t="n">
        <v>13</v>
      </c>
      <c r="B28" s="52" t="n">
        <v>303600307.85</v>
      </c>
      <c r="C28" s="52" t="n">
        <v>29811239.5</v>
      </c>
      <c r="D28" s="52" t="n">
        <v>187006.24</v>
      </c>
      <c r="E28" s="52" t="n">
        <v>25300.03</v>
      </c>
      <c r="F28" s="52" t="n">
        <v>1012</v>
      </c>
      <c r="G28" s="52" t="n">
        <v>213318.26</v>
      </c>
      <c r="H28" s="52" t="n">
        <v>106659.13</v>
      </c>
      <c r="I28" s="52" t="n">
        <v>106659.13</v>
      </c>
      <c r="J28" s="52" t="n">
        <f aca="false">SUM(G16:G28)</f>
        <v>1908696.21</v>
      </c>
    </row>
    <row r="29" customFormat="false" ht="15" hidden="false" customHeight="false" outlineLevel="0" collapsed="false">
      <c r="A29" s="53" t="n">
        <v>14</v>
      </c>
      <c r="B29" s="30" t="n">
        <v>333795093.35</v>
      </c>
      <c r="C29" s="30" t="n">
        <v>30194785.5</v>
      </c>
      <c r="D29" s="30" t="n">
        <v>192698.31</v>
      </c>
      <c r="E29" s="30" t="n">
        <v>27816.26</v>
      </c>
      <c r="F29" s="30" t="n">
        <v>1112.65</v>
      </c>
      <c r="G29" s="30" t="n">
        <v>221627.22</v>
      </c>
      <c r="H29" s="30" t="n">
        <v>110813.61</v>
      </c>
      <c r="I29" s="30" t="n">
        <v>110813.61</v>
      </c>
      <c r="J29" s="30" t="n">
        <f aca="false">SUM(G16:G29)</f>
        <v>2130323.43</v>
      </c>
    </row>
    <row r="30" customFormat="false" ht="15" hidden="false" customHeight="false" outlineLevel="0" collapsed="false">
      <c r="A30" s="51" t="n">
        <v>15</v>
      </c>
      <c r="B30" s="52" t="n">
        <v>364303242.53</v>
      </c>
      <c r="C30" s="52" t="n">
        <v>30508149.18</v>
      </c>
      <c r="D30" s="52" t="n">
        <v>198078.65</v>
      </c>
      <c r="E30" s="52" t="n">
        <v>30358.6</v>
      </c>
      <c r="F30" s="52" t="n">
        <v>1214.34</v>
      </c>
      <c r="G30" s="52" t="n">
        <v>229651.6</v>
      </c>
      <c r="H30" s="52" t="n">
        <v>114825.8</v>
      </c>
      <c r="I30" s="52" t="n">
        <v>114825.8</v>
      </c>
      <c r="J30" s="52" t="n">
        <f aca="false">SUM(G16:G30)</f>
        <v>2359975.03</v>
      </c>
    </row>
    <row r="31" customFormat="false" ht="15" hidden="false" customHeight="false" outlineLevel="0" collapsed="false">
      <c r="A31" s="53" t="n">
        <v>16</v>
      </c>
      <c r="B31" s="30" t="n">
        <v>395061728.4</v>
      </c>
      <c r="C31" s="30" t="n">
        <v>30758485.87</v>
      </c>
      <c r="D31" s="30" t="n">
        <v>203175.15</v>
      </c>
      <c r="E31" s="30" t="n">
        <v>32921.81</v>
      </c>
      <c r="F31" s="30" t="n">
        <v>1316.87</v>
      </c>
      <c r="G31" s="30" t="n">
        <v>237413.83</v>
      </c>
      <c r="H31" s="30" t="n">
        <v>118706.91</v>
      </c>
      <c r="I31" s="30" t="n">
        <v>118706.91</v>
      </c>
      <c r="J31" s="30" t="n">
        <f aca="false">SUM(G16:G31)</f>
        <v>2597388.86</v>
      </c>
    </row>
    <row r="32" customFormat="false" ht="15" hidden="false" customHeight="false" outlineLevel="0" collapsed="false">
      <c r="A32" s="51" t="n">
        <v>17</v>
      </c>
      <c r="B32" s="52" t="n">
        <v>426013539.83</v>
      </c>
      <c r="C32" s="52" t="n">
        <v>30951811.44</v>
      </c>
      <c r="D32" s="52" t="n">
        <v>208010.75</v>
      </c>
      <c r="E32" s="52" t="n">
        <v>35501.13</v>
      </c>
      <c r="F32" s="52" t="n">
        <v>1420.05</v>
      </c>
      <c r="G32" s="52" t="n">
        <v>244931.92</v>
      </c>
      <c r="H32" s="52" t="n">
        <v>122465.96</v>
      </c>
      <c r="I32" s="52" t="n">
        <v>122465.96</v>
      </c>
      <c r="J32" s="52" t="n">
        <f aca="false">SUM(G16:G32)</f>
        <v>2842320.78</v>
      </c>
    </row>
    <row r="33" customFormat="false" ht="15" hidden="false" customHeight="false" outlineLevel="0" collapsed="false">
      <c r="A33" s="53" t="n">
        <v>18</v>
      </c>
      <c r="B33" s="30" t="n">
        <v>457106781.19</v>
      </c>
      <c r="C33" s="30" t="n">
        <v>31093241.35</v>
      </c>
      <c r="D33" s="30" t="n">
        <v>212604.55</v>
      </c>
      <c r="E33" s="30" t="n">
        <v>38092.23</v>
      </c>
      <c r="F33" s="30" t="n">
        <v>1523.69</v>
      </c>
      <c r="G33" s="30" t="n">
        <v>252220.48</v>
      </c>
      <c r="H33" s="30" t="n">
        <v>126110.24</v>
      </c>
      <c r="I33" s="30" t="n">
        <v>126110.24</v>
      </c>
      <c r="J33" s="30" t="n">
        <f aca="false">SUM(G16:G33)</f>
        <v>3094541.26</v>
      </c>
    </row>
    <row r="34" customFormat="false" ht="15" hidden="false" customHeight="false" outlineLevel="0" collapsed="false">
      <c r="A34" s="51" t="n">
        <v>19</v>
      </c>
      <c r="B34" s="52" t="n">
        <v>488293949.94</v>
      </c>
      <c r="C34" s="52" t="n">
        <v>31187168.76</v>
      </c>
      <c r="D34" s="52" t="n">
        <v>216972.59</v>
      </c>
      <c r="E34" s="52" t="n">
        <v>40691.16</v>
      </c>
      <c r="F34" s="52" t="n">
        <v>1627.65</v>
      </c>
      <c r="G34" s="52" t="n">
        <v>259291.4</v>
      </c>
      <c r="H34" s="52" t="n">
        <v>129645.7</v>
      </c>
      <c r="I34" s="52" t="n">
        <v>129645.7</v>
      </c>
      <c r="J34" s="52" t="n">
        <f aca="false">SUM(G16:G34)</f>
        <v>3353832.66</v>
      </c>
    </row>
    <row r="35" customFormat="false" ht="15" hidden="false" customHeight="false" outlineLevel="0" collapsed="false">
      <c r="A35" s="53" t="n">
        <v>20</v>
      </c>
      <c r="B35" s="30" t="n">
        <v>519531349.69</v>
      </c>
      <c r="C35" s="30" t="n">
        <v>31237399.75</v>
      </c>
      <c r="D35" s="30" t="n">
        <v>221128.42</v>
      </c>
      <c r="E35" s="30" t="n">
        <v>43294.28</v>
      </c>
      <c r="F35" s="30" t="n">
        <v>1731.77</v>
      </c>
      <c r="G35" s="30" t="n">
        <v>266154.47</v>
      </c>
      <c r="H35" s="30" t="n">
        <v>133077.23</v>
      </c>
      <c r="I35" s="30" t="n">
        <v>133077.23</v>
      </c>
      <c r="J35" s="30" t="n">
        <f aca="false">SUM(G16:G35)</f>
        <v>3619987.13</v>
      </c>
    </row>
    <row r="36" customFormat="false" ht="15" hidden="false" customHeight="false" outlineLevel="0" collapsed="false">
      <c r="A36" s="51" t="n">
        <v>21</v>
      </c>
      <c r="B36" s="52" t="n">
        <v>550778607.35</v>
      </c>
      <c r="C36" s="52" t="n">
        <v>31247257.66</v>
      </c>
      <c r="D36" s="52" t="n">
        <v>225083.61</v>
      </c>
      <c r="E36" s="52" t="n">
        <v>45898.22</v>
      </c>
      <c r="F36" s="52" t="n">
        <v>1835.93</v>
      </c>
      <c r="G36" s="52" t="n">
        <v>272817.76</v>
      </c>
      <c r="H36" s="52" t="n">
        <v>136408.88</v>
      </c>
      <c r="I36" s="52" t="n">
        <v>136408.88</v>
      </c>
      <c r="J36" s="52" t="n">
        <f aca="false">SUM(G16:G36)</f>
        <v>3892804.89</v>
      </c>
    </row>
    <row r="37" customFormat="false" ht="15" hidden="false" customHeight="false" outlineLevel="0" collapsed="false">
      <c r="A37" s="53" t="n">
        <v>22</v>
      </c>
      <c r="B37" s="30" t="n">
        <v>581998272.06</v>
      </c>
      <c r="C37" s="30" t="n">
        <v>31219664.71</v>
      </c>
      <c r="D37" s="30" t="n">
        <v>228848.11</v>
      </c>
      <c r="E37" s="30" t="n">
        <v>48499.86</v>
      </c>
      <c r="F37" s="30" t="n">
        <v>1939.99</v>
      </c>
      <c r="G37" s="30" t="n">
        <v>279287.96</v>
      </c>
      <c r="H37" s="30" t="n">
        <v>139643.98</v>
      </c>
      <c r="I37" s="30" t="n">
        <v>139643.98</v>
      </c>
      <c r="J37" s="30" t="n">
        <f aca="false">SUM(G16:G37)</f>
        <v>4172092.85</v>
      </c>
    </row>
    <row r="38" customFormat="false" ht="15" hidden="false" customHeight="false" outlineLevel="0" collapsed="false">
      <c r="A38" s="51" t="n">
        <v>23</v>
      </c>
      <c r="B38" s="52" t="n">
        <v>613155478.73</v>
      </c>
      <c r="C38" s="52" t="n">
        <v>31157206.67</v>
      </c>
      <c r="D38" s="52" t="n">
        <v>232430.47</v>
      </c>
      <c r="E38" s="52" t="n">
        <v>51096.29</v>
      </c>
      <c r="F38" s="52" t="n">
        <v>2043.85</v>
      </c>
      <c r="G38" s="52" t="n">
        <v>285570.61</v>
      </c>
      <c r="H38" s="52" t="n">
        <v>142785.3</v>
      </c>
      <c r="I38" s="52" t="n">
        <v>142785.3</v>
      </c>
      <c r="J38" s="52" t="n">
        <f aca="false">SUM(G16:G38)</f>
        <v>4457663.46</v>
      </c>
    </row>
    <row r="39" customFormat="false" ht="15" hidden="false" customHeight="false" outlineLevel="0" collapsed="false">
      <c r="A39" s="53" t="n">
        <v>24</v>
      </c>
      <c r="B39" s="30" t="n">
        <v>644217663.46</v>
      </c>
      <c r="C39" s="30" t="n">
        <v>31062184.73</v>
      </c>
      <c r="D39" s="30" t="n">
        <v>235838.13</v>
      </c>
      <c r="E39" s="30" t="n">
        <v>53684.81</v>
      </c>
      <c r="F39" s="30" t="n">
        <v>2147.39</v>
      </c>
      <c r="G39" s="30" t="n">
        <v>291670.33</v>
      </c>
      <c r="H39" s="30" t="n">
        <v>145835.16</v>
      </c>
      <c r="I39" s="30" t="n">
        <v>145835.16</v>
      </c>
      <c r="J39" s="30" t="n">
        <f aca="false">SUM(G16:G39)</f>
        <v>4749333.79</v>
      </c>
    </row>
    <row r="40" customFormat="false" ht="15" hidden="false" customHeight="false" outlineLevel="0" collapsed="false">
      <c r="A40" s="51" t="n">
        <v>25</v>
      </c>
      <c r="B40" s="52" t="n">
        <v>675154320.99</v>
      </c>
      <c r="C40" s="52" t="n">
        <v>30936657.53</v>
      </c>
      <c r="D40" s="52" t="n">
        <v>239077.58</v>
      </c>
      <c r="E40" s="52" t="n">
        <v>56262.86</v>
      </c>
      <c r="F40" s="52" t="n">
        <v>2250.51</v>
      </c>
      <c r="G40" s="52" t="n">
        <v>297590.95</v>
      </c>
      <c r="H40" s="52" t="n">
        <v>148795.48</v>
      </c>
      <c r="I40" s="52" t="n">
        <v>148795.48</v>
      </c>
      <c r="J40" s="52" t="n">
        <f aca="false">SUM(G16:G40)</f>
        <v>5046924.74</v>
      </c>
    </row>
    <row r="41" customFormat="false" ht="15" hidden="false" customHeight="false" outlineLevel="0" collapsed="false">
      <c r="A41" s="53" t="n">
        <v>26</v>
      </c>
      <c r="B41" s="30" t="n">
        <v>705936796.48</v>
      </c>
      <c r="C41" s="30" t="n">
        <v>30782475.49</v>
      </c>
      <c r="D41" s="30" t="n">
        <v>242154.48</v>
      </c>
      <c r="E41" s="30" t="n">
        <v>58828.07</v>
      </c>
      <c r="F41" s="30" t="n">
        <v>2353.12</v>
      </c>
      <c r="G41" s="30" t="n">
        <v>303335.67</v>
      </c>
      <c r="H41" s="30" t="n">
        <v>151667.83</v>
      </c>
      <c r="I41" s="30" t="n">
        <v>151667.83</v>
      </c>
      <c r="J41" s="30" t="n">
        <f aca="false">SUM(G16:G41)</f>
        <v>5350260.41</v>
      </c>
    </row>
    <row r="42" customFormat="false" ht="15" hidden="false" customHeight="false" outlineLevel="0" collapsed="false">
      <c r="A42" s="51" t="n">
        <v>27</v>
      </c>
      <c r="B42" s="52" t="n">
        <v>736538105.68</v>
      </c>
      <c r="C42" s="52" t="n">
        <v>30601309.19</v>
      </c>
      <c r="D42" s="52" t="n">
        <v>245073.81</v>
      </c>
      <c r="E42" s="52" t="n">
        <v>61378.18</v>
      </c>
      <c r="F42" s="52" t="n">
        <v>2455.13</v>
      </c>
      <c r="G42" s="52" t="n">
        <v>308907.11</v>
      </c>
      <c r="H42" s="52" t="n">
        <v>154453.56</v>
      </c>
      <c r="I42" s="52" t="n">
        <v>154453.56</v>
      </c>
      <c r="J42" s="52" t="n">
        <f aca="false">SUM(G16:G42)</f>
        <v>5659167.52</v>
      </c>
    </row>
    <row r="43" customFormat="false" ht="15" hidden="false" customHeight="false" outlineLevel="0" collapsed="false">
      <c r="A43" s="53" t="n">
        <v>28</v>
      </c>
      <c r="B43" s="30" t="n">
        <v>766932778.58</v>
      </c>
      <c r="C43" s="30" t="n">
        <v>30394672.9</v>
      </c>
      <c r="D43" s="30" t="n">
        <v>247839.96</v>
      </c>
      <c r="E43" s="30" t="n">
        <v>63911.06</v>
      </c>
      <c r="F43" s="30" t="n">
        <v>2556.44</v>
      </c>
      <c r="G43" s="30" t="n">
        <v>314307.47</v>
      </c>
      <c r="H43" s="30" t="n">
        <v>157153.73</v>
      </c>
      <c r="I43" s="30" t="n">
        <v>157153.73</v>
      </c>
      <c r="J43" s="30" t="n">
        <f aca="false">SUM(G16:G43)</f>
        <v>5973474.99</v>
      </c>
    </row>
    <row r="44" customFormat="false" ht="15" hidden="false" customHeight="false" outlineLevel="0" collapsed="false">
      <c r="A44" s="51" t="n">
        <v>29</v>
      </c>
      <c r="B44" s="52" t="n">
        <v>797096722.9</v>
      </c>
      <c r="C44" s="52" t="n">
        <v>30163944.33</v>
      </c>
      <c r="D44" s="52" t="n">
        <v>250456.81</v>
      </c>
      <c r="E44" s="52" t="n">
        <v>66424.73</v>
      </c>
      <c r="F44" s="52" t="n">
        <v>2656.99</v>
      </c>
      <c r="G44" s="52" t="n">
        <v>319538.53</v>
      </c>
      <c r="H44" s="52" t="n">
        <v>159769.26</v>
      </c>
      <c r="I44" s="52" t="n">
        <v>159769.26</v>
      </c>
      <c r="J44" s="52" t="n">
        <f aca="false">SUM(G16:G44)</f>
        <v>6293013.52</v>
      </c>
    </row>
    <row r="45" customFormat="false" ht="15" hidden="false" customHeight="false" outlineLevel="0" collapsed="false">
      <c r="A45" s="53" t="n">
        <v>30</v>
      </c>
      <c r="B45" s="30" t="n">
        <v>827007104.18</v>
      </c>
      <c r="C45" s="30" t="n">
        <v>29910381.28</v>
      </c>
      <c r="D45" s="30" t="n">
        <v>252927.79</v>
      </c>
      <c r="E45" s="30" t="n">
        <v>68917.26</v>
      </c>
      <c r="F45" s="30" t="n">
        <v>2756.69</v>
      </c>
      <c r="G45" s="30" t="n">
        <v>324601.74</v>
      </c>
      <c r="H45" s="30" t="n">
        <v>162300.87</v>
      </c>
      <c r="I45" s="30" t="n">
        <v>162300.87</v>
      </c>
      <c r="J45" s="30" t="n">
        <f aca="false">SUM(G16:G45)</f>
        <v>6617615.26</v>
      </c>
    </row>
    <row r="46" customFormat="false" ht="15" hidden="false" customHeight="false" outlineLevel="0" collapsed="false">
      <c r="A46" s="51" t="n">
        <v>31</v>
      </c>
      <c r="B46" s="52" t="n">
        <v>856642239.95</v>
      </c>
      <c r="C46" s="52" t="n">
        <v>29635135.77</v>
      </c>
      <c r="D46" s="52" t="n">
        <v>255255.96</v>
      </c>
      <c r="E46" s="52" t="n">
        <v>71386.85</v>
      </c>
      <c r="F46" s="52" t="n">
        <v>2855.47</v>
      </c>
      <c r="G46" s="52" t="n">
        <v>329498.29</v>
      </c>
      <c r="H46" s="52" t="n">
        <v>164749.14</v>
      </c>
      <c r="I46" s="52" t="n">
        <v>164749.14</v>
      </c>
      <c r="J46" s="52" t="n">
        <f aca="false">SUM(G16:G46)</f>
        <v>6947113.55</v>
      </c>
    </row>
    <row r="47" customFormat="false" ht="15" hidden="false" customHeight="false" outlineLevel="0" collapsed="false">
      <c r="A47" s="53" t="n">
        <v>32</v>
      </c>
      <c r="B47" s="30" t="n">
        <v>885981506.02</v>
      </c>
      <c r="C47" s="30" t="n">
        <v>29339266.07</v>
      </c>
      <c r="D47" s="30" t="n">
        <v>257444.02</v>
      </c>
      <c r="E47" s="30" t="n">
        <v>73831.79</v>
      </c>
      <c r="F47" s="30" t="n">
        <v>2953.27</v>
      </c>
      <c r="G47" s="30" t="n">
        <v>334229.08</v>
      </c>
      <c r="H47" s="30" t="n">
        <v>167114.54</v>
      </c>
      <c r="I47" s="30" t="n">
        <v>167114.54</v>
      </c>
      <c r="J47" s="30" t="n">
        <f aca="false">SUM(G16:G47)</f>
        <v>7281342.63</v>
      </c>
    </row>
    <row r="48" customFormat="false" ht="15" hidden="false" customHeight="false" outlineLevel="0" collapsed="false">
      <c r="A48" s="51" t="n">
        <v>33</v>
      </c>
      <c r="B48" s="52" t="n">
        <v>915005253.11</v>
      </c>
      <c r="C48" s="52" t="n">
        <v>29023747.09</v>
      </c>
      <c r="D48" s="52" t="n">
        <v>259494.39</v>
      </c>
      <c r="E48" s="52" t="n">
        <v>76250.44</v>
      </c>
      <c r="F48" s="52" t="n">
        <v>3050.02</v>
      </c>
      <c r="G48" s="52" t="n">
        <v>338794.85</v>
      </c>
      <c r="H48" s="52" t="n">
        <v>169397.42</v>
      </c>
      <c r="I48" s="52" t="n">
        <v>169397.42</v>
      </c>
      <c r="J48" s="52" t="n">
        <f aca="false">SUM(G16:G48)</f>
        <v>7620137.48</v>
      </c>
    </row>
    <row r="49" customFormat="false" ht="15" hidden="false" customHeight="false" outlineLevel="0" collapsed="false">
      <c r="A49" s="53" t="n">
        <v>34</v>
      </c>
      <c r="B49" s="30" t="n">
        <v>943694732.33</v>
      </c>
      <c r="C49" s="30" t="n">
        <v>28689479.22</v>
      </c>
      <c r="D49" s="30" t="n">
        <v>261409.24</v>
      </c>
      <c r="E49" s="30" t="n">
        <v>78641.23</v>
      </c>
      <c r="F49" s="30" t="n">
        <v>3145.65</v>
      </c>
      <c r="G49" s="30" t="n">
        <v>343196.11</v>
      </c>
      <c r="H49" s="30" t="n">
        <v>171598.06</v>
      </c>
      <c r="I49" s="30" t="n">
        <v>171598.06</v>
      </c>
      <c r="J49" s="30" t="n">
        <f aca="false">SUM(G16:G49)</f>
        <v>7963333.59</v>
      </c>
    </row>
    <row r="50" customFormat="false" ht="15" hidden="false" customHeight="false" outlineLevel="0" collapsed="false">
      <c r="A50" s="51" t="n">
        <v>35</v>
      </c>
      <c r="B50" s="52" t="n">
        <v>972032028.47</v>
      </c>
      <c r="C50" s="52" t="n">
        <v>28337296.15</v>
      </c>
      <c r="D50" s="52" t="n">
        <v>263190.48</v>
      </c>
      <c r="E50" s="52" t="n">
        <v>81002.67</v>
      </c>
      <c r="F50" s="52" t="n">
        <v>3240.11</v>
      </c>
      <c r="G50" s="52" t="n">
        <v>347433.26</v>
      </c>
      <c r="H50" s="52" t="n">
        <v>173716.63</v>
      </c>
      <c r="I50" s="52" t="n">
        <v>173716.63</v>
      </c>
      <c r="J50" s="52" t="n">
        <f aca="false">SUM(G16:G50)</f>
        <v>8310766.85</v>
      </c>
    </row>
    <row r="51" customFormat="false" ht="15" hidden="false" customHeight="false" outlineLevel="0" collapsed="false">
      <c r="A51" s="53" t="n">
        <v>36</v>
      </c>
      <c r="B51" s="30" t="n">
        <v>1000000000</v>
      </c>
      <c r="C51" s="30" t="n">
        <v>27967971.53</v>
      </c>
      <c r="D51" s="30" t="n">
        <v>264839.86</v>
      </c>
      <c r="E51" s="30" t="n">
        <v>83333.33</v>
      </c>
      <c r="F51" s="30" t="n">
        <v>3333.33</v>
      </c>
      <c r="G51" s="30" t="n">
        <v>351506.52</v>
      </c>
      <c r="H51" s="30" t="n">
        <v>175753.26</v>
      </c>
      <c r="I51" s="30" t="n">
        <v>175753.26</v>
      </c>
      <c r="J51" s="30" t="n">
        <f aca="false">SUM(G16:G51)</f>
        <v>8662273.37</v>
      </c>
    </row>
    <row r="53" customFormat="false" ht="27.75" hidden="false" customHeight="true" outlineLevel="0" collapsed="false">
      <c r="A53" s="25" t="s">
        <v>182</v>
      </c>
      <c r="B53" s="25"/>
      <c r="C53" s="25"/>
      <c r="D53" s="25"/>
      <c r="E53" s="25"/>
      <c r="F53" s="25"/>
      <c r="G53" s="25"/>
      <c r="H53" s="25"/>
      <c r="I53" s="25"/>
      <c r="J53" s="25"/>
    </row>
    <row r="55" customFormat="false" ht="15" hidden="false" customHeight="false" outlineLevel="0" collapsed="false">
      <c r="A55" s="3" t="s">
        <v>183</v>
      </c>
      <c r="B55" s="3"/>
      <c r="C55" s="3"/>
      <c r="D55" s="3"/>
      <c r="E55" s="3"/>
      <c r="F55" s="3"/>
      <c r="G55" s="3"/>
      <c r="H55" s="3"/>
      <c r="I55" s="3"/>
      <c r="J55" s="3"/>
    </row>
    <row r="56" customFormat="false" ht="15" hidden="false" customHeight="false" outlineLevel="0" collapsed="false">
      <c r="A56" s="4" t="s">
        <v>124</v>
      </c>
      <c r="B56" s="4" t="s">
        <v>184</v>
      </c>
      <c r="C56" s="4" t="s">
        <v>185</v>
      </c>
      <c r="D56" s="4" t="s">
        <v>186</v>
      </c>
      <c r="E56" s="4" t="s">
        <v>187</v>
      </c>
      <c r="F56" s="4" t="s">
        <v>188</v>
      </c>
      <c r="G56" s="4" t="s">
        <v>189</v>
      </c>
      <c r="H56" s="4" t="s">
        <v>190</v>
      </c>
      <c r="I56" s="4" t="s">
        <v>191</v>
      </c>
      <c r="J56" s="4" t="s">
        <v>192</v>
      </c>
    </row>
    <row r="57" customFormat="false" ht="15" hidden="false" customHeight="false" outlineLevel="0" collapsed="false">
      <c r="A57" s="5" t="s">
        <v>193</v>
      </c>
      <c r="B57" s="30" t="n">
        <v>50000000</v>
      </c>
      <c r="C57" s="30" t="n">
        <v>200000000</v>
      </c>
      <c r="D57" s="30" t="n">
        <v>500000000</v>
      </c>
      <c r="E57" s="30" t="n">
        <v>120000000</v>
      </c>
      <c r="F57" s="30" t="n">
        <v>500000000</v>
      </c>
      <c r="G57" s="30" t="n">
        <v>1500000000</v>
      </c>
      <c r="H57" s="30" t="n">
        <v>250000000</v>
      </c>
      <c r="I57" s="30" t="n">
        <v>1000000000</v>
      </c>
      <c r="J57" s="30" t="n">
        <v>3500000000</v>
      </c>
    </row>
    <row r="58" customFormat="false" ht="15" hidden="false" customHeight="false" outlineLevel="0" collapsed="false">
      <c r="A58" s="10" t="s">
        <v>194</v>
      </c>
      <c r="B58" s="52" t="n">
        <v>125000</v>
      </c>
      <c r="C58" s="52" t="n">
        <v>500000</v>
      </c>
      <c r="D58" s="52" t="n">
        <v>1250000</v>
      </c>
      <c r="E58" s="52" t="n">
        <v>300000</v>
      </c>
      <c r="F58" s="52" t="n">
        <v>750000</v>
      </c>
      <c r="G58" s="52" t="n">
        <v>2250000</v>
      </c>
      <c r="H58" s="52" t="n">
        <v>325000</v>
      </c>
      <c r="I58" s="52" t="n">
        <v>1000000</v>
      </c>
      <c r="J58" s="52" t="n">
        <v>5000000</v>
      </c>
    </row>
    <row r="59" customFormat="false" ht="15" hidden="false" customHeight="false" outlineLevel="0" collapsed="false">
      <c r="A59" s="5" t="s">
        <v>195</v>
      </c>
      <c r="B59" s="30" t="n">
        <v>25000</v>
      </c>
      <c r="C59" s="30" t="n">
        <v>100000</v>
      </c>
      <c r="D59" s="30" t="n">
        <v>250000</v>
      </c>
      <c r="E59" s="30" t="n">
        <v>62500</v>
      </c>
      <c r="F59" s="30" t="n">
        <v>187500</v>
      </c>
      <c r="G59" s="30" t="n">
        <v>562500</v>
      </c>
      <c r="H59" s="30" t="n">
        <v>100000</v>
      </c>
      <c r="I59" s="30" t="n">
        <v>375000</v>
      </c>
      <c r="J59" s="30" t="n">
        <v>1312500</v>
      </c>
    </row>
    <row r="60" customFormat="false" ht="15" hidden="false" customHeight="false" outlineLevel="0" collapsed="false">
      <c r="A60" s="10" t="s">
        <v>196</v>
      </c>
      <c r="B60" s="52" t="n">
        <v>50000</v>
      </c>
      <c r="C60" s="52" t="n">
        <v>200000</v>
      </c>
      <c r="D60" s="52" t="n">
        <v>500000</v>
      </c>
      <c r="E60" s="52" t="n">
        <v>120000</v>
      </c>
      <c r="F60" s="52" t="n">
        <v>500000</v>
      </c>
      <c r="G60" s="52" t="n">
        <v>1500000</v>
      </c>
      <c r="H60" s="52" t="n">
        <v>250000</v>
      </c>
      <c r="I60" s="52" t="n">
        <v>1000000</v>
      </c>
      <c r="J60" s="52" t="n">
        <v>3500000</v>
      </c>
    </row>
    <row r="61" customFormat="false" ht="15" hidden="false" customHeight="false" outlineLevel="0" collapsed="false">
      <c r="A61" s="5" t="s">
        <v>197</v>
      </c>
      <c r="B61" s="30" t="n">
        <v>2000</v>
      </c>
      <c r="C61" s="30" t="n">
        <v>8000</v>
      </c>
      <c r="D61" s="30" t="n">
        <v>20000</v>
      </c>
      <c r="E61" s="30" t="n">
        <v>4800</v>
      </c>
      <c r="F61" s="30" t="n">
        <v>20000</v>
      </c>
      <c r="G61" s="30" t="n">
        <v>60000</v>
      </c>
      <c r="H61" s="30" t="n">
        <v>10000</v>
      </c>
      <c r="I61" s="30" t="n">
        <v>40000</v>
      </c>
      <c r="J61" s="30" t="n">
        <v>140000</v>
      </c>
    </row>
    <row r="62" customFormat="false" ht="15" hidden="false" customHeight="false" outlineLevel="0" collapsed="false">
      <c r="A62" s="54" t="s">
        <v>198</v>
      </c>
      <c r="B62" s="55" t="n">
        <v>202000</v>
      </c>
      <c r="C62" s="55" t="n">
        <v>808000</v>
      </c>
      <c r="D62" s="55" t="n">
        <v>2020000</v>
      </c>
      <c r="E62" s="55" t="n">
        <v>487300</v>
      </c>
      <c r="F62" s="55" t="n">
        <v>1457500</v>
      </c>
      <c r="G62" s="55" t="n">
        <v>4372500</v>
      </c>
      <c r="H62" s="55" t="n">
        <v>685000</v>
      </c>
      <c r="I62" s="55" t="n">
        <v>2415000</v>
      </c>
      <c r="J62" s="55" t="n">
        <v>9952500</v>
      </c>
    </row>
    <row r="63" customFormat="false" ht="15" hidden="false" customHeight="false" outlineLevel="0" collapsed="false">
      <c r="A63" s="5" t="s">
        <v>199</v>
      </c>
      <c r="B63" s="30" t="n">
        <v>101000</v>
      </c>
      <c r="C63" s="30" t="n">
        <v>404000</v>
      </c>
      <c r="D63" s="30" t="n">
        <v>1010000</v>
      </c>
      <c r="E63" s="30" t="n">
        <v>243700</v>
      </c>
      <c r="F63" s="30" t="n">
        <v>728800</v>
      </c>
      <c r="G63" s="30" t="n">
        <v>2186300</v>
      </c>
      <c r="H63" s="30" t="n">
        <v>342500</v>
      </c>
      <c r="I63" s="30" t="n">
        <v>1207500</v>
      </c>
      <c r="J63" s="30" t="n">
        <v>4976300</v>
      </c>
    </row>
    <row r="64" customFormat="false" ht="15" hidden="false" customHeight="false" outlineLevel="0" collapsed="false">
      <c r="A64" s="10" t="s">
        <v>200</v>
      </c>
      <c r="B64" s="52" t="n">
        <v>101000</v>
      </c>
      <c r="C64" s="52" t="n">
        <v>404000</v>
      </c>
      <c r="D64" s="52" t="n">
        <v>1010000</v>
      </c>
      <c r="E64" s="52" t="n">
        <v>243700</v>
      </c>
      <c r="F64" s="52" t="n">
        <v>728800</v>
      </c>
      <c r="G64" s="52" t="n">
        <v>2186300</v>
      </c>
      <c r="H64" s="52" t="n">
        <v>342500</v>
      </c>
      <c r="I64" s="52" t="n">
        <v>1207500</v>
      </c>
      <c r="J64" s="52" t="n">
        <v>4976300</v>
      </c>
    </row>
  </sheetData>
  <mergeCells count="14">
    <mergeCell ref="A1:J1"/>
    <mergeCell ref="A2:J2"/>
    <mergeCell ref="A4:J4"/>
    <mergeCell ref="D5:J5"/>
    <mergeCell ref="D6:J6"/>
    <mergeCell ref="D7:J7"/>
    <mergeCell ref="D8:J8"/>
    <mergeCell ref="D9:J9"/>
    <mergeCell ref="D10:J10"/>
    <mergeCell ref="D11:J11"/>
    <mergeCell ref="D12:J12"/>
    <mergeCell ref="A14:J14"/>
    <mergeCell ref="A53:J53"/>
    <mergeCell ref="A55:J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10" min="2" style="0" width="18"/>
  </cols>
  <sheetData>
    <row r="1" customFormat="false" ht="27.75" hidden="false" customHeight="true" outlineLevel="0" collapsed="false">
      <c r="A1" s="1" t="s">
        <v>201</v>
      </c>
      <c r="B1" s="1"/>
      <c r="C1" s="1"/>
      <c r="D1" s="1"/>
      <c r="E1" s="1"/>
      <c r="F1" s="1"/>
      <c r="G1" s="1"/>
      <c r="H1" s="1"/>
      <c r="I1" s="1"/>
    </row>
    <row r="2" customFormat="false" ht="15" hidden="false" customHeight="false" outlineLevel="0" collapsed="false">
      <c r="A2" s="2" t="s">
        <v>202</v>
      </c>
      <c r="B2" s="2"/>
      <c r="C2" s="2"/>
      <c r="D2" s="2"/>
      <c r="E2" s="2"/>
      <c r="F2" s="2"/>
      <c r="G2" s="2"/>
      <c r="H2" s="2"/>
      <c r="I2" s="2"/>
    </row>
    <row r="4" customFormat="false" ht="15" hidden="false" customHeight="false" outlineLevel="0" collapsed="false">
      <c r="A4" s="3" t="s">
        <v>203</v>
      </c>
      <c r="B4" s="3"/>
      <c r="C4" s="3"/>
      <c r="D4" s="3"/>
      <c r="E4" s="3"/>
      <c r="F4" s="3"/>
      <c r="G4" s="3"/>
      <c r="H4" s="3"/>
      <c r="I4" s="3"/>
    </row>
    <row r="5" customFormat="false" ht="15" hidden="false" customHeight="false" outlineLevel="0" collapsed="false">
      <c r="A5" s="4" t="s">
        <v>204</v>
      </c>
      <c r="B5" s="56" t="s">
        <v>205</v>
      </c>
      <c r="C5" s="57" t="s">
        <v>206</v>
      </c>
      <c r="D5" s="57"/>
      <c r="E5" s="57"/>
      <c r="F5" s="58" t="s">
        <v>207</v>
      </c>
      <c r="G5" s="58"/>
      <c r="H5" s="58"/>
      <c r="I5" s="58"/>
    </row>
    <row r="6" customFormat="false" ht="39.75" hidden="false" customHeight="true" outlineLevel="0" collapsed="false">
      <c r="A6" s="54" t="s">
        <v>208</v>
      </c>
      <c r="B6" s="59" t="s">
        <v>209</v>
      </c>
      <c r="C6" s="59" t="s">
        <v>210</v>
      </c>
      <c r="D6" s="59"/>
      <c r="E6" s="59"/>
      <c r="F6" s="59" t="s">
        <v>211</v>
      </c>
      <c r="G6" s="59"/>
      <c r="H6" s="59"/>
      <c r="I6" s="59"/>
    </row>
    <row r="7" customFormat="false" ht="15" hidden="false" customHeight="false" outlineLevel="0" collapsed="false">
      <c r="A7" s="3" t="s">
        <v>212</v>
      </c>
      <c r="B7" s="3"/>
      <c r="C7" s="3"/>
      <c r="D7" s="3"/>
      <c r="E7" s="3"/>
      <c r="F7" s="3"/>
      <c r="G7" s="3"/>
      <c r="H7" s="3"/>
      <c r="I7" s="3"/>
    </row>
    <row r="8" customFormat="false" ht="24" hidden="false" customHeight="true" outlineLevel="0" collapsed="false">
      <c r="A8" s="47" t="s">
        <v>213</v>
      </c>
      <c r="B8" s="47"/>
      <c r="C8" s="47"/>
      <c r="D8" s="47"/>
      <c r="E8" s="47"/>
      <c r="F8" s="47"/>
      <c r="G8" s="47"/>
      <c r="H8" s="47"/>
      <c r="I8" s="47"/>
    </row>
    <row r="10" customFormat="false" ht="15" hidden="false" customHeight="false" outlineLevel="0" collapsed="false">
      <c r="A10" s="4" t="s">
        <v>124</v>
      </c>
      <c r="B10" s="58" t="s">
        <v>111</v>
      </c>
      <c r="C10" s="58" t="s">
        <v>112</v>
      </c>
      <c r="D10" s="58" t="s">
        <v>113</v>
      </c>
      <c r="E10" s="58" t="s">
        <v>114</v>
      </c>
      <c r="F10" s="58" t="s">
        <v>115</v>
      </c>
      <c r="G10" s="60" t="s">
        <v>214</v>
      </c>
      <c r="H10" s="60"/>
      <c r="I10" s="60"/>
    </row>
    <row r="11" customFormat="false" ht="15" hidden="false" customHeight="false" outlineLevel="0" collapsed="false">
      <c r="A11" s="5" t="s">
        <v>215</v>
      </c>
      <c r="B11" s="30" t="n">
        <v>200000000</v>
      </c>
      <c r="C11" s="30" t="n">
        <v>500000000</v>
      </c>
      <c r="D11" s="30" t="n">
        <v>1000000000</v>
      </c>
      <c r="E11" s="30" t="n">
        <v>1800000000</v>
      </c>
      <c r="F11" s="30" t="n">
        <v>3000000000</v>
      </c>
    </row>
    <row r="12" customFormat="false" ht="15" hidden="false" customHeight="false" outlineLevel="0" collapsed="false">
      <c r="A12" s="10" t="s">
        <v>216</v>
      </c>
      <c r="B12" s="52" t="n">
        <v>404000</v>
      </c>
      <c r="C12" s="52" t="n">
        <v>1207000</v>
      </c>
      <c r="D12" s="52" t="n">
        <v>2415000</v>
      </c>
      <c r="E12" s="52" t="n">
        <v>4347000</v>
      </c>
      <c r="F12" s="52" t="n">
        <v>7245000</v>
      </c>
    </row>
    <row r="13" customFormat="false" ht="15" hidden="false" customHeight="false" outlineLevel="0" collapsed="false">
      <c r="A13" s="5" t="s">
        <v>217</v>
      </c>
      <c r="B13" s="30" t="n">
        <v>14400000</v>
      </c>
      <c r="C13" s="30" t="n">
        <v>40500000</v>
      </c>
      <c r="D13" s="30" t="n">
        <v>100700000</v>
      </c>
      <c r="E13" s="30" t="n">
        <v>200900000</v>
      </c>
      <c r="F13" s="30" t="n">
        <v>374700000</v>
      </c>
    </row>
    <row r="14" customFormat="false" ht="15" hidden="false" customHeight="false" outlineLevel="0" collapsed="false">
      <c r="A14" s="54" t="s">
        <v>218</v>
      </c>
      <c r="B14" s="61" t="n">
        <v>0.028</v>
      </c>
      <c r="C14" s="61" t="n">
        <v>0.03</v>
      </c>
      <c r="D14" s="61" t="n">
        <v>0.024</v>
      </c>
      <c r="E14" s="61" t="n">
        <v>0.022</v>
      </c>
      <c r="F14" s="61" t="n">
        <v>0.019</v>
      </c>
    </row>
    <row r="15" customFormat="false" ht="15" hidden="false" customHeight="false" outlineLevel="0" collapsed="false">
      <c r="A15" s="5" t="s">
        <v>219</v>
      </c>
      <c r="B15" s="30" t="n">
        <v>2800</v>
      </c>
      <c r="C15" s="30" t="n">
        <v>3000</v>
      </c>
      <c r="D15" s="30" t="n">
        <v>2400</v>
      </c>
      <c r="E15" s="30" t="n">
        <v>2200</v>
      </c>
      <c r="F15" s="30" t="n">
        <v>1900</v>
      </c>
      <c r="G15" s="62" t="n">
        <v>12300</v>
      </c>
      <c r="H15" s="62"/>
      <c r="I15" s="62"/>
    </row>
    <row r="16" customFormat="false" ht="15" hidden="false" customHeight="false" outlineLevel="0" collapsed="false">
      <c r="A16" s="10" t="s">
        <v>220</v>
      </c>
      <c r="B16" s="52" t="n">
        <v>100</v>
      </c>
      <c r="C16" s="52" t="n">
        <v>100</v>
      </c>
      <c r="D16" s="52" t="n">
        <v>100</v>
      </c>
      <c r="E16" s="52" t="n">
        <v>100</v>
      </c>
      <c r="F16" s="52" t="n">
        <v>100</v>
      </c>
    </row>
    <row r="17" customFormat="false" ht="15" hidden="false" customHeight="false" outlineLevel="0" collapsed="false">
      <c r="A17" s="33" t="s">
        <v>221</v>
      </c>
      <c r="B17" s="43" t="n">
        <v>2700</v>
      </c>
      <c r="C17" s="43" t="n">
        <v>2900</v>
      </c>
      <c r="D17" s="43" t="n">
        <v>2300</v>
      </c>
      <c r="E17" s="43" t="n">
        <v>2100</v>
      </c>
      <c r="F17" s="43" t="n">
        <v>1800</v>
      </c>
      <c r="G17" s="43" t="n">
        <v>11800</v>
      </c>
      <c r="H17" s="43"/>
      <c r="I17" s="43"/>
    </row>
    <row r="18" customFormat="false" ht="15" hidden="false" customHeight="false" outlineLevel="0" collapsed="false">
      <c r="A18" s="10" t="s">
        <v>222</v>
      </c>
      <c r="B18" s="63" t="n">
        <v>0.1</v>
      </c>
      <c r="C18" s="63" t="n">
        <v>0.2</v>
      </c>
      <c r="D18" s="63" t="n">
        <v>0.4</v>
      </c>
      <c r="E18" s="63" t="n">
        <v>0.7</v>
      </c>
      <c r="F18" s="63" t="n">
        <v>1.1</v>
      </c>
    </row>
    <row r="19" customFormat="false" ht="15" hidden="false" customHeight="false" outlineLevel="0" collapsed="false">
      <c r="A19" s="5" t="s">
        <v>223</v>
      </c>
      <c r="B19" s="30" t="n">
        <v>566667</v>
      </c>
      <c r="C19" s="30" t="n">
        <v>1233333</v>
      </c>
      <c r="D19" s="30" t="n">
        <v>2566667</v>
      </c>
      <c r="E19" s="30" t="n">
        <v>4566667</v>
      </c>
      <c r="F19" s="30" t="n">
        <v>7233333</v>
      </c>
    </row>
    <row r="22" customFormat="false" ht="15" hidden="false" customHeight="false" outlineLevel="0" collapsed="false">
      <c r="A22" s="3" t="s">
        <v>224</v>
      </c>
      <c r="B22" s="3"/>
      <c r="C22" s="3"/>
      <c r="D22" s="3"/>
      <c r="E22" s="3"/>
      <c r="F22" s="3"/>
      <c r="G22" s="3"/>
      <c r="H22" s="3"/>
      <c r="I22" s="3"/>
    </row>
    <row r="23" customFormat="false" ht="15" hidden="false" customHeight="false" outlineLevel="0" collapsed="false">
      <c r="A23" s="4" t="s">
        <v>73</v>
      </c>
      <c r="B23" s="4" t="s">
        <v>225</v>
      </c>
      <c r="C23" s="4" t="s">
        <v>226</v>
      </c>
      <c r="D23" s="4" t="s">
        <v>227</v>
      </c>
      <c r="E23" s="4" t="s">
        <v>75</v>
      </c>
      <c r="F23" s="4" t="s">
        <v>10</v>
      </c>
      <c r="G23" s="4"/>
      <c r="H23" s="4"/>
      <c r="I23" s="4"/>
    </row>
    <row r="24" customFormat="false" ht="15" hidden="false" customHeight="false" outlineLevel="0" collapsed="false">
      <c r="A24" s="32" t="s">
        <v>228</v>
      </c>
      <c r="B24" s="64" t="s">
        <v>229</v>
      </c>
      <c r="C24" s="64" t="s">
        <v>230</v>
      </c>
      <c r="D24" s="64" t="s">
        <v>231</v>
      </c>
      <c r="E24" s="32" t="s">
        <v>99</v>
      </c>
      <c r="F24" s="32" t="s">
        <v>232</v>
      </c>
      <c r="G24" s="32"/>
      <c r="H24" s="32"/>
      <c r="I24" s="32"/>
    </row>
    <row r="25" customFormat="false" ht="15" hidden="false" customHeight="false" outlineLevel="0" collapsed="false">
      <c r="A25" s="10" t="s">
        <v>233</v>
      </c>
      <c r="B25" s="51" t="s">
        <v>234</v>
      </c>
      <c r="C25" s="51" t="s">
        <v>235</v>
      </c>
      <c r="D25" s="51" t="s">
        <v>236</v>
      </c>
      <c r="E25" s="10" t="s">
        <v>88</v>
      </c>
      <c r="F25" s="10" t="s">
        <v>237</v>
      </c>
      <c r="G25" s="10"/>
      <c r="H25" s="10"/>
      <c r="I25" s="10"/>
    </row>
    <row r="26" customFormat="false" ht="15" hidden="false" customHeight="false" outlineLevel="0" collapsed="false">
      <c r="A26" s="32" t="s">
        <v>238</v>
      </c>
      <c r="B26" s="64" t="s">
        <v>239</v>
      </c>
      <c r="C26" s="64" t="s">
        <v>240</v>
      </c>
      <c r="D26" s="64" t="s">
        <v>241</v>
      </c>
      <c r="E26" s="32" t="s">
        <v>99</v>
      </c>
      <c r="F26" s="32" t="s">
        <v>242</v>
      </c>
      <c r="G26" s="32"/>
      <c r="H26" s="32"/>
      <c r="I26" s="32"/>
    </row>
    <row r="27" customFormat="false" ht="15" hidden="false" customHeight="false" outlineLevel="0" collapsed="false">
      <c r="A27" s="10" t="s">
        <v>243</v>
      </c>
      <c r="B27" s="51" t="s">
        <v>239</v>
      </c>
      <c r="C27" s="51" t="s">
        <v>240</v>
      </c>
      <c r="D27" s="51" t="s">
        <v>241</v>
      </c>
      <c r="E27" s="10" t="s">
        <v>99</v>
      </c>
      <c r="F27" s="10" t="s">
        <v>244</v>
      </c>
      <c r="G27" s="10"/>
      <c r="H27" s="10"/>
      <c r="I27" s="10"/>
    </row>
    <row r="28" customFormat="false" ht="15" hidden="false" customHeight="false" outlineLevel="0" collapsed="false">
      <c r="A28" s="32" t="s">
        <v>245</v>
      </c>
      <c r="B28" s="64" t="s">
        <v>246</v>
      </c>
      <c r="C28" s="64" t="s">
        <v>247</v>
      </c>
      <c r="D28" s="64" t="s">
        <v>248</v>
      </c>
      <c r="E28" s="32" t="s">
        <v>99</v>
      </c>
      <c r="F28" s="32" t="s">
        <v>249</v>
      </c>
      <c r="G28" s="32"/>
      <c r="H28" s="32"/>
      <c r="I28" s="32"/>
    </row>
    <row r="29" customFormat="false" ht="15" hidden="false" customHeight="false" outlineLevel="0" collapsed="false">
      <c r="A29" s="10" t="s">
        <v>250</v>
      </c>
      <c r="B29" s="51" t="s">
        <v>251</v>
      </c>
      <c r="C29" s="51" t="s">
        <v>252</v>
      </c>
      <c r="D29" s="51" t="s">
        <v>253</v>
      </c>
      <c r="E29" s="10" t="s">
        <v>99</v>
      </c>
      <c r="F29" s="10" t="s">
        <v>254</v>
      </c>
      <c r="G29" s="10"/>
      <c r="H29" s="10"/>
      <c r="I29" s="10"/>
    </row>
    <row r="30" customFormat="false" ht="15" hidden="false" customHeight="false" outlineLevel="0" collapsed="false">
      <c r="A30" s="32" t="s">
        <v>255</v>
      </c>
      <c r="B30" s="64" t="s">
        <v>256</v>
      </c>
      <c r="C30" s="64" t="s">
        <v>256</v>
      </c>
      <c r="D30" s="64" t="s">
        <v>256</v>
      </c>
      <c r="E30" s="32" t="s">
        <v>88</v>
      </c>
      <c r="F30" s="32" t="s">
        <v>257</v>
      </c>
      <c r="G30" s="32"/>
      <c r="H30" s="32"/>
      <c r="I30" s="32"/>
    </row>
    <row r="31" customFormat="false" ht="15" hidden="false" customHeight="false" outlineLevel="0" collapsed="false">
      <c r="A31" s="10" t="s">
        <v>258</v>
      </c>
      <c r="B31" s="51" t="s">
        <v>259</v>
      </c>
      <c r="C31" s="51" t="s">
        <v>259</v>
      </c>
      <c r="D31" s="51" t="s">
        <v>259</v>
      </c>
      <c r="E31" s="10" t="s">
        <v>99</v>
      </c>
      <c r="F31" s="10" t="s">
        <v>260</v>
      </c>
      <c r="G31" s="10"/>
      <c r="H31" s="10"/>
      <c r="I31" s="10"/>
    </row>
    <row r="32" customFormat="false" ht="15" hidden="false" customHeight="false" outlineLevel="0" collapsed="false">
      <c r="A32" s="32" t="s">
        <v>261</v>
      </c>
      <c r="B32" s="64" t="s">
        <v>262</v>
      </c>
      <c r="C32" s="64" t="s">
        <v>262</v>
      </c>
      <c r="D32" s="64" t="s">
        <v>262</v>
      </c>
      <c r="E32" s="32"/>
      <c r="F32" s="32" t="s">
        <v>263</v>
      </c>
      <c r="G32" s="32"/>
      <c r="H32" s="32"/>
      <c r="I32" s="32"/>
    </row>
    <row r="33" customFormat="false" ht="15" hidden="false" customHeight="false" outlineLevel="0" collapsed="false">
      <c r="A33" s="10" t="s">
        <v>264</v>
      </c>
      <c r="B33" s="51" t="s">
        <v>265</v>
      </c>
      <c r="C33" s="51" t="s">
        <v>266</v>
      </c>
      <c r="D33" s="51" t="s">
        <v>267</v>
      </c>
      <c r="E33" s="10" t="s">
        <v>99</v>
      </c>
      <c r="F33" s="10" t="s">
        <v>268</v>
      </c>
      <c r="G33" s="10"/>
      <c r="H33" s="10"/>
      <c r="I33" s="10"/>
    </row>
    <row r="34" customFormat="false" ht="15" hidden="false" customHeight="false" outlineLevel="0" collapsed="false">
      <c r="A34" s="31" t="s">
        <v>269</v>
      </c>
      <c r="B34" s="65" t="s">
        <v>270</v>
      </c>
      <c r="C34" s="65" t="s">
        <v>271</v>
      </c>
      <c r="D34" s="65" t="s">
        <v>272</v>
      </c>
      <c r="E34" s="32" t="s">
        <v>99</v>
      </c>
      <c r="F34" s="32" t="s">
        <v>273</v>
      </c>
      <c r="G34" s="32"/>
      <c r="H34" s="32"/>
      <c r="I34" s="32"/>
    </row>
    <row r="36" customFormat="false" ht="39.75" hidden="false" customHeight="true" outlineLevel="0" collapsed="false">
      <c r="A36" s="47" t="s">
        <v>274</v>
      </c>
      <c r="B36" s="47"/>
      <c r="C36" s="47"/>
      <c r="D36" s="47"/>
      <c r="E36" s="47"/>
      <c r="F36" s="47"/>
      <c r="G36" s="47"/>
      <c r="H36" s="47"/>
      <c r="I36" s="47"/>
    </row>
    <row r="38" customFormat="false" ht="15" hidden="false" customHeight="false" outlineLevel="0" collapsed="false">
      <c r="A38" s="3" t="s">
        <v>275</v>
      </c>
      <c r="B38" s="3"/>
      <c r="C38" s="3"/>
      <c r="D38" s="3"/>
      <c r="E38" s="3"/>
      <c r="F38" s="3"/>
      <c r="G38" s="3"/>
      <c r="H38" s="3"/>
      <c r="I38" s="3"/>
    </row>
    <row r="39" customFormat="false" ht="30" hidden="false" customHeight="true" outlineLevel="0" collapsed="false">
      <c r="A39" s="47" t="s">
        <v>276</v>
      </c>
      <c r="B39" s="47"/>
      <c r="C39" s="47"/>
      <c r="D39" s="47"/>
      <c r="E39" s="47"/>
      <c r="F39" s="47"/>
      <c r="G39" s="47"/>
      <c r="H39" s="47"/>
      <c r="I39" s="47"/>
    </row>
    <row r="41" customFormat="false" ht="15" hidden="false" customHeight="false" outlineLevel="0" collapsed="false">
      <c r="A41" s="4" t="s">
        <v>277</v>
      </c>
      <c r="B41" s="4" t="s">
        <v>278</v>
      </c>
      <c r="C41" s="4" t="s">
        <v>279</v>
      </c>
      <c r="D41" s="4" t="s">
        <v>280</v>
      </c>
      <c r="E41" s="4" t="s">
        <v>281</v>
      </c>
      <c r="F41" s="4" t="s">
        <v>10</v>
      </c>
      <c r="G41" s="4"/>
      <c r="H41" s="4"/>
      <c r="I41" s="4"/>
    </row>
    <row r="42" customFormat="false" ht="15" hidden="false" customHeight="false" outlineLevel="0" collapsed="false">
      <c r="A42" s="20" t="s">
        <v>282</v>
      </c>
      <c r="B42" s="66" t="s">
        <v>283</v>
      </c>
      <c r="C42" s="66" t="s">
        <v>284</v>
      </c>
      <c r="D42" s="66" t="s">
        <v>285</v>
      </c>
      <c r="E42" s="66" t="s">
        <v>286</v>
      </c>
      <c r="F42" s="20" t="s">
        <v>287</v>
      </c>
      <c r="G42" s="20"/>
      <c r="H42" s="20"/>
      <c r="I42" s="20"/>
    </row>
    <row r="43" customFormat="false" ht="15" hidden="false" customHeight="false" outlineLevel="0" collapsed="false">
      <c r="A43" s="10" t="s">
        <v>288</v>
      </c>
      <c r="B43" s="51" t="s">
        <v>289</v>
      </c>
      <c r="C43" s="51" t="s">
        <v>290</v>
      </c>
      <c r="D43" s="51" t="s">
        <v>291</v>
      </c>
      <c r="E43" s="51" t="s">
        <v>292</v>
      </c>
      <c r="F43" s="10" t="s">
        <v>293</v>
      </c>
      <c r="G43" s="10"/>
      <c r="H43" s="10"/>
      <c r="I43" s="10"/>
    </row>
    <row r="44" customFormat="false" ht="15" hidden="false" customHeight="false" outlineLevel="0" collapsed="false">
      <c r="A44" s="5" t="s">
        <v>294</v>
      </c>
      <c r="B44" s="53" t="s">
        <v>256</v>
      </c>
      <c r="C44" s="53" t="s">
        <v>256</v>
      </c>
      <c r="D44" s="53" t="s">
        <v>256</v>
      </c>
      <c r="E44" s="53" t="s">
        <v>256</v>
      </c>
      <c r="F44" s="5" t="s">
        <v>295</v>
      </c>
      <c r="G44" s="5"/>
      <c r="H44" s="5"/>
      <c r="I44" s="5"/>
    </row>
    <row r="45" customFormat="false" ht="15" hidden="false" customHeight="false" outlineLevel="0" collapsed="false">
      <c r="A45" s="10" t="s">
        <v>296</v>
      </c>
      <c r="B45" s="51" t="s">
        <v>297</v>
      </c>
      <c r="C45" s="51" t="s">
        <v>298</v>
      </c>
      <c r="D45" s="51" t="s">
        <v>299</v>
      </c>
      <c r="E45" s="51" t="s">
        <v>300</v>
      </c>
      <c r="F45" s="10" t="s">
        <v>301</v>
      </c>
      <c r="G45" s="10"/>
      <c r="H45" s="10"/>
      <c r="I45" s="10"/>
    </row>
    <row r="46" customFormat="false" ht="15" hidden="false" customHeight="false" outlineLevel="0" collapsed="false">
      <c r="A46" s="5" t="s">
        <v>302</v>
      </c>
      <c r="B46" s="53" t="s">
        <v>303</v>
      </c>
      <c r="C46" s="53" t="s">
        <v>303</v>
      </c>
      <c r="D46" s="53" t="s">
        <v>303</v>
      </c>
      <c r="E46" s="53" t="s">
        <v>303</v>
      </c>
      <c r="F46" s="5" t="s">
        <v>304</v>
      </c>
      <c r="G46" s="5"/>
      <c r="H46" s="5"/>
      <c r="I46" s="5"/>
    </row>
    <row r="47" customFormat="false" ht="15" hidden="false" customHeight="false" outlineLevel="0" collapsed="false">
      <c r="A47" s="10" t="s">
        <v>305</v>
      </c>
      <c r="B47" s="51" t="s">
        <v>306</v>
      </c>
      <c r="C47" s="51" t="s">
        <v>306</v>
      </c>
      <c r="D47" s="51" t="s">
        <v>306</v>
      </c>
      <c r="E47" s="51" t="s">
        <v>306</v>
      </c>
      <c r="F47" s="10" t="s">
        <v>307</v>
      </c>
      <c r="G47" s="10"/>
      <c r="H47" s="10"/>
      <c r="I47" s="10"/>
    </row>
    <row r="48" customFormat="false" ht="15" hidden="false" customHeight="false" outlineLevel="0" collapsed="false">
      <c r="A48" s="5" t="s">
        <v>308</v>
      </c>
      <c r="B48" s="53" t="s">
        <v>297</v>
      </c>
      <c r="C48" s="53" t="s">
        <v>298</v>
      </c>
      <c r="D48" s="53" t="s">
        <v>299</v>
      </c>
      <c r="E48" s="53" t="s">
        <v>300</v>
      </c>
      <c r="F48" s="5" t="s">
        <v>309</v>
      </c>
      <c r="G48" s="5"/>
      <c r="H48" s="5"/>
      <c r="I48" s="5"/>
    </row>
    <row r="49" customFormat="false" ht="15" hidden="false" customHeight="false" outlineLevel="0" collapsed="false">
      <c r="A49" s="10" t="s">
        <v>310</v>
      </c>
      <c r="B49" s="51" t="s">
        <v>311</v>
      </c>
      <c r="C49" s="51" t="s">
        <v>311</v>
      </c>
      <c r="D49" s="51" t="s">
        <v>311</v>
      </c>
      <c r="E49" s="51" t="s">
        <v>311</v>
      </c>
      <c r="F49" s="10" t="s">
        <v>312</v>
      </c>
      <c r="G49" s="10"/>
      <c r="H49" s="10"/>
      <c r="I49" s="10"/>
    </row>
    <row r="51" customFormat="false" ht="15" hidden="false" customHeight="false" outlineLevel="0" collapsed="false">
      <c r="A51" s="3" t="s">
        <v>313</v>
      </c>
      <c r="B51" s="3"/>
      <c r="C51" s="3"/>
      <c r="D51" s="3"/>
      <c r="E51" s="3"/>
      <c r="F51" s="3"/>
      <c r="G51" s="3"/>
      <c r="H51" s="3"/>
      <c r="I51" s="3"/>
    </row>
    <row r="52" customFormat="false" ht="15" hidden="false" customHeight="false" outlineLevel="0" collapsed="false">
      <c r="A52" s="4" t="s">
        <v>110</v>
      </c>
      <c r="B52" s="4" t="s">
        <v>314</v>
      </c>
      <c r="C52" s="4" t="s">
        <v>315</v>
      </c>
      <c r="D52" s="4" t="s">
        <v>316</v>
      </c>
      <c r="E52" s="4" t="s">
        <v>317</v>
      </c>
      <c r="F52" s="4" t="s">
        <v>318</v>
      </c>
      <c r="G52" s="4" t="s">
        <v>319</v>
      </c>
      <c r="H52" s="4"/>
      <c r="I52" s="4"/>
    </row>
    <row r="53" customFormat="false" ht="15" hidden="false" customHeight="false" outlineLevel="0" collapsed="false">
      <c r="A53" s="35" t="s">
        <v>207</v>
      </c>
      <c r="B53" s="67" t="s">
        <v>299</v>
      </c>
      <c r="C53" s="67" t="s">
        <v>256</v>
      </c>
      <c r="D53" s="67" t="s">
        <v>320</v>
      </c>
      <c r="E53" s="67" t="s">
        <v>321</v>
      </c>
      <c r="F53" s="67" t="s">
        <v>322</v>
      </c>
      <c r="G53" s="68" t="s">
        <v>323</v>
      </c>
      <c r="H53" s="68"/>
      <c r="I53" s="68"/>
    </row>
    <row r="54" customFormat="false" ht="15" hidden="false" customHeight="false" outlineLevel="0" collapsed="false">
      <c r="A54" s="69" t="s">
        <v>324</v>
      </c>
      <c r="B54" s="70" t="s">
        <v>299</v>
      </c>
      <c r="C54" s="70" t="s">
        <v>256</v>
      </c>
      <c r="D54" s="70" t="s">
        <v>325</v>
      </c>
      <c r="E54" s="70" t="s">
        <v>326</v>
      </c>
      <c r="F54" s="70" t="s">
        <v>327</v>
      </c>
      <c r="G54" s="71" t="s">
        <v>328</v>
      </c>
      <c r="H54" s="71"/>
      <c r="I54" s="71"/>
    </row>
    <row r="55" customFormat="false" ht="15" hidden="false" customHeight="false" outlineLevel="0" collapsed="false">
      <c r="A55" s="31" t="s">
        <v>329</v>
      </c>
      <c r="B55" s="64" t="s">
        <v>299</v>
      </c>
      <c r="C55" s="64" t="s">
        <v>330</v>
      </c>
      <c r="D55" s="64" t="s">
        <v>331</v>
      </c>
      <c r="E55" s="64" t="s">
        <v>332</v>
      </c>
      <c r="F55" s="64" t="s">
        <v>333</v>
      </c>
      <c r="G55" s="72" t="s">
        <v>334</v>
      </c>
      <c r="H55" s="72"/>
      <c r="I55" s="72"/>
    </row>
  </sheetData>
  <mergeCells count="42">
    <mergeCell ref="A1:I1"/>
    <mergeCell ref="A2:I2"/>
    <mergeCell ref="A4:I4"/>
    <mergeCell ref="C5:E5"/>
    <mergeCell ref="F5:I5"/>
    <mergeCell ref="C6:E6"/>
    <mergeCell ref="F6:I6"/>
    <mergeCell ref="A7:I7"/>
    <mergeCell ref="A8:I8"/>
    <mergeCell ref="G10:I10"/>
    <mergeCell ref="G15:I15"/>
    <mergeCell ref="G17:I17"/>
    <mergeCell ref="A22:I22"/>
    <mergeCell ref="F23:I23"/>
    <mergeCell ref="F24:I24"/>
    <mergeCell ref="F25:I25"/>
    <mergeCell ref="F26:I26"/>
    <mergeCell ref="F27:I27"/>
    <mergeCell ref="F28:I28"/>
    <mergeCell ref="F29:I29"/>
    <mergeCell ref="F30:I30"/>
    <mergeCell ref="F31:I31"/>
    <mergeCell ref="F32:I32"/>
    <mergeCell ref="F33:I33"/>
    <mergeCell ref="F34:I34"/>
    <mergeCell ref="A36:I36"/>
    <mergeCell ref="A38:I38"/>
    <mergeCell ref="A39:I39"/>
    <mergeCell ref="F41:I41"/>
    <mergeCell ref="F42:I42"/>
    <mergeCell ref="F43:I43"/>
    <mergeCell ref="F44:I44"/>
    <mergeCell ref="F45:I45"/>
    <mergeCell ref="F46:I46"/>
    <mergeCell ref="F47:I47"/>
    <mergeCell ref="F48:I48"/>
    <mergeCell ref="F49:I49"/>
    <mergeCell ref="A51:I51"/>
    <mergeCell ref="G52:I52"/>
    <mergeCell ref="G53:I53"/>
    <mergeCell ref="G54:I54"/>
    <mergeCell ref="G55:I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6"/>
    <col collapsed="false" customWidth="true" hidden="false" outlineLevel="0" max="6" min="4" style="0" width="14"/>
    <col collapsed="false" customWidth="true" hidden="false" outlineLevel="0" max="7" min="7" style="0" width="16"/>
    <col collapsed="false" customWidth="true" hidden="false" outlineLevel="0" max="8" min="8" style="0" width="14"/>
    <col collapsed="false" customWidth="true" hidden="false" outlineLevel="0" max="9" min="9" style="0" width="28"/>
  </cols>
  <sheetData>
    <row r="1" customFormat="false" ht="27.75" hidden="false" customHeight="true" outlineLevel="0" collapsed="false">
      <c r="A1" s="1" t="s">
        <v>335</v>
      </c>
      <c r="B1" s="1"/>
      <c r="C1" s="1"/>
      <c r="D1" s="1"/>
      <c r="E1" s="1"/>
      <c r="F1" s="1"/>
      <c r="G1" s="1"/>
      <c r="H1" s="1"/>
      <c r="I1" s="1"/>
    </row>
    <row r="2" customFormat="false" ht="15" hidden="false" customHeight="false" outlineLevel="0" collapsed="false">
      <c r="A2" s="2" t="s">
        <v>336</v>
      </c>
      <c r="B2" s="2"/>
      <c r="C2" s="2"/>
      <c r="D2" s="2"/>
      <c r="E2" s="2"/>
      <c r="F2" s="2"/>
      <c r="G2" s="2"/>
      <c r="H2" s="2"/>
      <c r="I2" s="2"/>
    </row>
    <row r="4" customFormat="false" ht="15" hidden="false" customHeight="false" outlineLevel="0" collapsed="false">
      <c r="A4" s="3" t="s">
        <v>337</v>
      </c>
      <c r="B4" s="3"/>
      <c r="C4" s="3"/>
      <c r="D4" s="3"/>
      <c r="E4" s="3"/>
      <c r="F4" s="3"/>
      <c r="G4" s="3"/>
      <c r="H4" s="3"/>
      <c r="I4" s="3"/>
    </row>
    <row r="5" customFormat="false" ht="15" hidden="false" customHeight="false" outlineLevel="0" collapsed="false">
      <c r="A5" s="4" t="s">
        <v>338</v>
      </c>
      <c r="B5" s="4" t="s">
        <v>339</v>
      </c>
      <c r="C5" s="4" t="s">
        <v>340</v>
      </c>
      <c r="D5" s="4" t="s">
        <v>341</v>
      </c>
      <c r="E5" s="4" t="s">
        <v>342</v>
      </c>
      <c r="F5" s="4" t="s">
        <v>343</v>
      </c>
      <c r="G5" s="4" t="s">
        <v>344</v>
      </c>
      <c r="H5" s="4" t="s">
        <v>345</v>
      </c>
      <c r="I5" s="4" t="s">
        <v>346</v>
      </c>
    </row>
    <row r="6" customFormat="false" ht="15" hidden="false" customHeight="false" outlineLevel="0" collapsed="false">
      <c r="A6" s="15" t="s">
        <v>347</v>
      </c>
      <c r="B6" s="5" t="s">
        <v>348</v>
      </c>
      <c r="C6" s="30" t="n">
        <v>100000000</v>
      </c>
      <c r="D6" s="30" t="n">
        <v>103000000</v>
      </c>
      <c r="E6" s="30" t="n">
        <v>800000000</v>
      </c>
      <c r="F6" s="73" t="n">
        <v>0.125</v>
      </c>
      <c r="G6" s="30" t="n">
        <v>15000000</v>
      </c>
      <c r="H6" s="73" t="n">
        <v>6.7</v>
      </c>
      <c r="I6" s="5" t="s">
        <v>349</v>
      </c>
    </row>
    <row r="7" customFormat="false" ht="15" hidden="false" customHeight="false" outlineLevel="0" collapsed="false">
      <c r="A7" s="54" t="s">
        <v>350</v>
      </c>
      <c r="B7" s="10" t="s">
        <v>351</v>
      </c>
      <c r="C7" s="52" t="n">
        <v>67000000</v>
      </c>
      <c r="D7" s="52" t="n">
        <v>67000000</v>
      </c>
      <c r="E7" s="52" t="n">
        <v>600000000</v>
      </c>
      <c r="F7" s="74" t="n">
        <v>0.112</v>
      </c>
      <c r="G7" s="52" t="n">
        <v>30000000</v>
      </c>
      <c r="H7" s="74" t="n">
        <v>2.2</v>
      </c>
      <c r="I7" s="10" t="s">
        <v>352</v>
      </c>
    </row>
    <row r="8" customFormat="false" ht="15" hidden="false" customHeight="false" outlineLevel="0" collapsed="false">
      <c r="A8" s="15" t="s">
        <v>353</v>
      </c>
      <c r="B8" s="5" t="s">
        <v>354</v>
      </c>
      <c r="C8" s="30" t="n">
        <v>97000000</v>
      </c>
      <c r="D8" s="30" t="n">
        <v>400000000</v>
      </c>
      <c r="E8" s="30" t="n">
        <v>1200000000</v>
      </c>
      <c r="F8" s="73" t="n">
        <v>0.081</v>
      </c>
      <c r="G8" s="30" t="n">
        <v>20000000</v>
      </c>
      <c r="H8" s="73" t="n">
        <v>4.9</v>
      </c>
      <c r="I8" s="5" t="s">
        <v>355</v>
      </c>
    </row>
    <row r="9" customFormat="false" ht="15" hidden="false" customHeight="false" outlineLevel="0" collapsed="false">
      <c r="A9" s="54" t="s">
        <v>356</v>
      </c>
      <c r="B9" s="10" t="s">
        <v>357</v>
      </c>
      <c r="C9" s="52" t="n">
        <v>80000000</v>
      </c>
      <c r="D9" s="52" t="n">
        <v>120000000</v>
      </c>
      <c r="E9" s="52" t="n">
        <v>200000000</v>
      </c>
      <c r="F9" s="74" t="n">
        <v>0.4</v>
      </c>
      <c r="G9" s="52" t="n">
        <v>10000000</v>
      </c>
      <c r="H9" s="74" t="n">
        <v>8</v>
      </c>
      <c r="I9" s="10" t="s">
        <v>358</v>
      </c>
    </row>
    <row r="10" customFormat="false" ht="15" hidden="false" customHeight="false" outlineLevel="0" collapsed="false">
      <c r="A10" s="15" t="s">
        <v>359</v>
      </c>
      <c r="B10" s="5" t="s">
        <v>348</v>
      </c>
      <c r="C10" s="30" t="n">
        <v>15000000</v>
      </c>
      <c r="D10" s="30" t="n">
        <v>20000000</v>
      </c>
      <c r="E10" s="30" t="n">
        <v>50000000</v>
      </c>
      <c r="F10" s="73" t="n">
        <v>0.3</v>
      </c>
      <c r="G10" s="30" t="n">
        <v>1000000</v>
      </c>
      <c r="H10" s="73" t="n">
        <v>15</v>
      </c>
      <c r="I10" s="5" t="s">
        <v>360</v>
      </c>
    </row>
    <row r="11" customFormat="false" ht="15" hidden="false" customHeight="false" outlineLevel="0" collapsed="false">
      <c r="A11" s="54" t="s">
        <v>361</v>
      </c>
      <c r="B11" s="10" t="s">
        <v>348</v>
      </c>
      <c r="C11" s="52" t="n">
        <v>12000000</v>
      </c>
      <c r="D11" s="52" t="n">
        <v>18000000</v>
      </c>
      <c r="E11" s="52" t="n">
        <v>80000000</v>
      </c>
      <c r="F11" s="74" t="n">
        <v>0.15</v>
      </c>
      <c r="G11" s="52" t="n">
        <v>2000000</v>
      </c>
      <c r="H11" s="74" t="n">
        <v>6</v>
      </c>
      <c r="I11" s="10" t="s">
        <v>362</v>
      </c>
    </row>
    <row r="12" customFormat="false" ht="15" hidden="false" customHeight="false" outlineLevel="0" collapsed="false">
      <c r="A12" s="15" t="s">
        <v>363</v>
      </c>
      <c r="B12" s="5" t="s">
        <v>364</v>
      </c>
      <c r="C12" s="30" t="n">
        <v>8000000</v>
      </c>
      <c r="D12" s="30" t="n">
        <v>10000000</v>
      </c>
      <c r="E12" s="30" t="n">
        <v>40000000</v>
      </c>
      <c r="F12" s="73" t="n">
        <v>0.2</v>
      </c>
      <c r="G12" s="30" t="n">
        <v>3000000</v>
      </c>
      <c r="H12" s="73" t="n">
        <v>2.7</v>
      </c>
      <c r="I12" s="5" t="s">
        <v>365</v>
      </c>
    </row>
    <row r="13" customFormat="false" ht="15" hidden="false" customHeight="false" outlineLevel="0" collapsed="false">
      <c r="A13" s="16" t="s">
        <v>366</v>
      </c>
      <c r="B13" s="20"/>
      <c r="C13" s="48" t="s">
        <v>12</v>
      </c>
      <c r="D13" s="48" t="s">
        <v>12</v>
      </c>
      <c r="E13" s="48" t="s">
        <v>12</v>
      </c>
      <c r="F13" s="75" t="n">
        <v>0.175</v>
      </c>
      <c r="G13" s="48" t="s">
        <v>12</v>
      </c>
      <c r="H13" s="75" t="n">
        <v>6</v>
      </c>
      <c r="I13" s="16" t="s">
        <v>367</v>
      </c>
    </row>
    <row r="15" customFormat="false" ht="15" hidden="false" customHeight="false" outlineLevel="0" collapsed="false">
      <c r="A15" s="3" t="s">
        <v>368</v>
      </c>
      <c r="B15" s="3"/>
      <c r="C15" s="3"/>
      <c r="D15" s="3"/>
      <c r="E15" s="3"/>
      <c r="F15" s="3"/>
      <c r="G15" s="3"/>
      <c r="H15" s="3"/>
      <c r="I15" s="3"/>
    </row>
    <row r="16" customFormat="false" ht="15" hidden="false" customHeight="false" outlineLevel="0" collapsed="false">
      <c r="A16" s="4" t="s">
        <v>369</v>
      </c>
      <c r="B16" s="4" t="s">
        <v>341</v>
      </c>
      <c r="C16" s="4" t="s">
        <v>370</v>
      </c>
      <c r="D16" s="4" t="s">
        <v>371</v>
      </c>
      <c r="E16" s="4" t="s">
        <v>372</v>
      </c>
      <c r="F16" s="4" t="s">
        <v>373</v>
      </c>
      <c r="G16" s="4" t="s">
        <v>374</v>
      </c>
      <c r="H16" s="4" t="s">
        <v>375</v>
      </c>
      <c r="I16" s="4" t="s">
        <v>376</v>
      </c>
    </row>
    <row r="17" customFormat="false" ht="15" hidden="false" customHeight="false" outlineLevel="0" collapsed="false">
      <c r="A17" s="33" t="s">
        <v>377</v>
      </c>
      <c r="B17" s="43" t="n">
        <v>15000000</v>
      </c>
      <c r="C17" s="76" t="n">
        <v>0.015</v>
      </c>
      <c r="D17" s="34" t="s">
        <v>378</v>
      </c>
      <c r="E17" s="77" t="n">
        <v>75</v>
      </c>
      <c r="F17" s="77" t="n">
        <v>0.3</v>
      </c>
      <c r="G17" s="33" t="s">
        <v>379</v>
      </c>
      <c r="H17" s="33" t="s">
        <v>380</v>
      </c>
      <c r="I17" s="34" t="s">
        <v>381</v>
      </c>
    </row>
    <row r="18" customFormat="false" ht="15" hidden="false" customHeight="false" outlineLevel="0" collapsed="false">
      <c r="A18" s="10" t="s">
        <v>382</v>
      </c>
      <c r="B18" s="52" t="n">
        <v>30000000</v>
      </c>
      <c r="C18" s="78" t="n">
        <v>0.03</v>
      </c>
      <c r="D18" s="10" t="s">
        <v>383</v>
      </c>
      <c r="E18" s="74" t="n">
        <v>75</v>
      </c>
      <c r="F18" s="74" t="n">
        <v>0.3</v>
      </c>
      <c r="G18" s="10" t="s">
        <v>384</v>
      </c>
      <c r="H18" s="10" t="s">
        <v>385</v>
      </c>
      <c r="I18" s="10" t="s">
        <v>386</v>
      </c>
    </row>
    <row r="19" customFormat="false" ht="15" hidden="false" customHeight="false" outlineLevel="0" collapsed="false">
      <c r="A19" s="5" t="s">
        <v>387</v>
      </c>
      <c r="B19" s="30" t="n">
        <v>75000000</v>
      </c>
      <c r="C19" s="79" t="n">
        <v>0.075</v>
      </c>
      <c r="D19" s="5" t="s">
        <v>388</v>
      </c>
      <c r="E19" s="73" t="n">
        <v>75</v>
      </c>
      <c r="F19" s="73" t="n">
        <v>0.3</v>
      </c>
      <c r="G19" s="5" t="s">
        <v>389</v>
      </c>
      <c r="H19" s="5" t="s">
        <v>390</v>
      </c>
      <c r="I19" s="5" t="s">
        <v>391</v>
      </c>
    </row>
    <row r="20" customFormat="false" ht="15" hidden="false" customHeight="false" outlineLevel="0" collapsed="false">
      <c r="A20" s="10" t="s">
        <v>392</v>
      </c>
      <c r="B20" s="52" t="n">
        <v>150000000</v>
      </c>
      <c r="C20" s="78" t="n">
        <v>0.15</v>
      </c>
      <c r="D20" s="10" t="s">
        <v>393</v>
      </c>
      <c r="E20" s="74" t="n">
        <v>75</v>
      </c>
      <c r="F20" s="74" t="n">
        <v>0.3</v>
      </c>
      <c r="G20" s="10" t="s">
        <v>394</v>
      </c>
      <c r="H20" s="10" t="s">
        <v>284</v>
      </c>
      <c r="I20" s="10" t="s">
        <v>395</v>
      </c>
    </row>
    <row r="21" customFormat="false" ht="15" hidden="false" customHeight="false" outlineLevel="0" collapsed="false">
      <c r="A21" s="5" t="s">
        <v>396</v>
      </c>
      <c r="B21" s="30" t="n">
        <v>300000000</v>
      </c>
      <c r="C21" s="79" t="n">
        <v>0.3</v>
      </c>
      <c r="D21" s="5" t="s">
        <v>397</v>
      </c>
      <c r="E21" s="73" t="n">
        <v>75</v>
      </c>
      <c r="F21" s="73" t="n">
        <v>0.3</v>
      </c>
      <c r="G21" s="5" t="s">
        <v>398</v>
      </c>
      <c r="H21" s="5" t="s">
        <v>399</v>
      </c>
      <c r="I21" s="5" t="s">
        <v>400</v>
      </c>
    </row>
    <row r="22" customFormat="false" ht="15" hidden="false" customHeight="false" outlineLevel="0" collapsed="false">
      <c r="A22" s="10" t="s">
        <v>401</v>
      </c>
      <c r="B22" s="52" t="n">
        <v>750000000</v>
      </c>
      <c r="C22" s="78" t="n">
        <v>0.75</v>
      </c>
      <c r="D22" s="10" t="s">
        <v>402</v>
      </c>
      <c r="E22" s="74" t="n">
        <v>62.5</v>
      </c>
      <c r="F22" s="74" t="n">
        <v>0.25</v>
      </c>
      <c r="G22" s="10" t="s">
        <v>403</v>
      </c>
      <c r="H22" s="10" t="s">
        <v>404</v>
      </c>
      <c r="I22" s="10" t="s">
        <v>405</v>
      </c>
    </row>
    <row r="23" customFormat="false" ht="15" hidden="false" customHeight="false" outlineLevel="0" collapsed="false">
      <c r="A23" s="5" t="s">
        <v>406</v>
      </c>
      <c r="B23" s="30" t="n">
        <v>1500000000</v>
      </c>
      <c r="C23" s="79" t="n">
        <v>1.5</v>
      </c>
      <c r="D23" s="5" t="s">
        <v>407</v>
      </c>
      <c r="E23" s="73" t="n">
        <v>53.6</v>
      </c>
      <c r="F23" s="73" t="n">
        <v>0.214</v>
      </c>
      <c r="G23" s="5" t="s">
        <v>408</v>
      </c>
      <c r="H23" s="5" t="s">
        <v>409</v>
      </c>
      <c r="I23" s="5" t="s">
        <v>410</v>
      </c>
    </row>
    <row r="25" customFormat="false" ht="27.75" hidden="false" customHeight="true" outlineLevel="0" collapsed="false">
      <c r="A25" s="25" t="s">
        <v>411</v>
      </c>
      <c r="B25" s="25"/>
      <c r="C25" s="25"/>
      <c r="D25" s="25"/>
      <c r="E25" s="25"/>
      <c r="F25" s="25"/>
      <c r="G25" s="25"/>
      <c r="H25" s="25"/>
      <c r="I25" s="25"/>
    </row>
    <row r="27" customFormat="false" ht="15" hidden="false" customHeight="false" outlineLevel="0" collapsed="false">
      <c r="A27" s="3" t="s">
        <v>412</v>
      </c>
      <c r="B27" s="3"/>
      <c r="C27" s="3"/>
      <c r="D27" s="3"/>
      <c r="E27" s="3"/>
      <c r="F27" s="3"/>
      <c r="G27" s="3"/>
      <c r="H27" s="3"/>
      <c r="I27" s="3"/>
    </row>
    <row r="28" customFormat="false" ht="15" hidden="false" customHeight="false" outlineLevel="0" collapsed="false">
      <c r="A28" s="4" t="s">
        <v>413</v>
      </c>
      <c r="B28" s="4" t="s">
        <v>370</v>
      </c>
      <c r="C28" s="4" t="s">
        <v>414</v>
      </c>
      <c r="D28" s="4" t="s">
        <v>415</v>
      </c>
      <c r="E28" s="4" t="s">
        <v>416</v>
      </c>
      <c r="F28" s="4" t="s">
        <v>417</v>
      </c>
      <c r="G28" s="4" t="s">
        <v>418</v>
      </c>
      <c r="H28" s="4"/>
      <c r="I28" s="4"/>
    </row>
    <row r="29" customFormat="false" ht="15" hidden="false" customHeight="false" outlineLevel="0" collapsed="false">
      <c r="A29" s="30" t="n">
        <v>30000000</v>
      </c>
      <c r="B29" s="79" t="n">
        <v>0.03</v>
      </c>
      <c r="C29" s="30" t="n">
        <v>3000000</v>
      </c>
      <c r="D29" s="5" t="s">
        <v>384</v>
      </c>
      <c r="E29" s="5" t="s">
        <v>419</v>
      </c>
      <c r="F29" s="5" t="s">
        <v>385</v>
      </c>
      <c r="G29" s="5" t="s">
        <v>420</v>
      </c>
      <c r="H29" s="5"/>
      <c r="I29" s="5"/>
    </row>
    <row r="30" customFormat="false" ht="15" hidden="false" customHeight="false" outlineLevel="0" collapsed="false">
      <c r="A30" s="52" t="n">
        <v>75000000</v>
      </c>
      <c r="B30" s="78" t="n">
        <v>0.075</v>
      </c>
      <c r="C30" s="52" t="n">
        <v>7500000</v>
      </c>
      <c r="D30" s="10" t="s">
        <v>389</v>
      </c>
      <c r="E30" s="10" t="s">
        <v>421</v>
      </c>
      <c r="F30" s="10" t="s">
        <v>390</v>
      </c>
      <c r="G30" s="10" t="s">
        <v>422</v>
      </c>
      <c r="H30" s="10"/>
      <c r="I30" s="10"/>
    </row>
    <row r="31" customFormat="false" ht="15" hidden="false" customHeight="false" outlineLevel="0" collapsed="false">
      <c r="A31" s="30" t="n">
        <v>150000000</v>
      </c>
      <c r="B31" s="79" t="n">
        <v>0.15</v>
      </c>
      <c r="C31" s="30" t="n">
        <v>15000000</v>
      </c>
      <c r="D31" s="5" t="s">
        <v>394</v>
      </c>
      <c r="E31" s="5" t="s">
        <v>423</v>
      </c>
      <c r="F31" s="5" t="s">
        <v>284</v>
      </c>
      <c r="G31" s="5" t="s">
        <v>424</v>
      </c>
      <c r="H31" s="5"/>
      <c r="I31" s="5"/>
    </row>
    <row r="32" customFormat="false" ht="15" hidden="false" customHeight="false" outlineLevel="0" collapsed="false">
      <c r="A32" s="52" t="n">
        <v>300000000</v>
      </c>
      <c r="B32" s="78" t="n">
        <v>0.3</v>
      </c>
      <c r="C32" s="52" t="n">
        <v>30000000</v>
      </c>
      <c r="D32" s="10" t="s">
        <v>398</v>
      </c>
      <c r="E32" s="10" t="s">
        <v>425</v>
      </c>
      <c r="F32" s="10" t="s">
        <v>399</v>
      </c>
      <c r="G32" s="10" t="s">
        <v>426</v>
      </c>
      <c r="H32" s="10"/>
      <c r="I32" s="10"/>
    </row>
    <row r="33" customFormat="false" ht="15" hidden="false" customHeight="false" outlineLevel="0" collapsed="false">
      <c r="A33" s="30" t="n">
        <v>750000000</v>
      </c>
      <c r="B33" s="79" t="n">
        <v>0.75</v>
      </c>
      <c r="C33" s="30" t="n">
        <v>75000000</v>
      </c>
      <c r="D33" s="5" t="s">
        <v>403</v>
      </c>
      <c r="E33" s="5" t="s">
        <v>427</v>
      </c>
      <c r="F33" s="5" t="s">
        <v>404</v>
      </c>
      <c r="G33" s="5" t="s">
        <v>428</v>
      </c>
      <c r="H33" s="5"/>
      <c r="I33" s="5"/>
    </row>
    <row r="34" customFormat="false" ht="15" hidden="false" customHeight="false" outlineLevel="0" collapsed="false">
      <c r="A34" s="52" t="n">
        <v>1500000000</v>
      </c>
      <c r="B34" s="78" t="n">
        <v>1.5</v>
      </c>
      <c r="C34" s="52" t="n">
        <v>150000000</v>
      </c>
      <c r="D34" s="10" t="s">
        <v>408</v>
      </c>
      <c r="E34" s="10" t="s">
        <v>429</v>
      </c>
      <c r="F34" s="10" t="s">
        <v>409</v>
      </c>
      <c r="G34" s="10" t="s">
        <v>430</v>
      </c>
      <c r="H34" s="10"/>
      <c r="I34" s="10"/>
    </row>
  </sheetData>
  <mergeCells count="13">
    <mergeCell ref="A1:I1"/>
    <mergeCell ref="A2:I2"/>
    <mergeCell ref="A4:I4"/>
    <mergeCell ref="A15:I15"/>
    <mergeCell ref="A25:I25"/>
    <mergeCell ref="A27:I27"/>
    <mergeCell ref="G28:I28"/>
    <mergeCell ref="G29:I29"/>
    <mergeCell ref="G30:I30"/>
    <mergeCell ref="G31:I31"/>
    <mergeCell ref="G32:I32"/>
    <mergeCell ref="G33:I33"/>
    <mergeCell ref="G34:I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10" min="2" style="0" width="16"/>
  </cols>
  <sheetData>
    <row r="1" customFormat="false" ht="27.75" hidden="false" customHeight="true" outlineLevel="0" collapsed="false">
      <c r="A1" s="1" t="s">
        <v>431</v>
      </c>
      <c r="B1" s="1"/>
      <c r="C1" s="1"/>
      <c r="D1" s="1"/>
      <c r="E1" s="1"/>
      <c r="F1" s="1"/>
      <c r="G1" s="1"/>
      <c r="H1" s="1"/>
      <c r="I1" s="1"/>
    </row>
    <row r="2" customFormat="false" ht="15" hidden="false" customHeight="false" outlineLevel="0" collapsed="false">
      <c r="A2" s="2" t="s">
        <v>432</v>
      </c>
      <c r="B2" s="2"/>
      <c r="C2" s="2"/>
      <c r="D2" s="2"/>
      <c r="E2" s="2"/>
      <c r="F2" s="2"/>
      <c r="G2" s="2"/>
      <c r="H2" s="2"/>
      <c r="I2" s="2"/>
    </row>
    <row r="4" customFormat="false" ht="15" hidden="false" customHeight="false" outlineLevel="0" collapsed="false">
      <c r="A4" s="3" t="s">
        <v>433</v>
      </c>
      <c r="B4" s="3"/>
      <c r="C4" s="3"/>
      <c r="D4" s="3"/>
      <c r="E4" s="3"/>
      <c r="F4" s="3"/>
      <c r="G4" s="3"/>
      <c r="H4" s="3"/>
      <c r="I4" s="3"/>
    </row>
    <row r="5" customFormat="false" ht="15" hidden="false" customHeight="false" outlineLevel="0" collapsed="false">
      <c r="A5" s="4" t="s">
        <v>434</v>
      </c>
      <c r="B5" s="4" t="s">
        <v>385</v>
      </c>
      <c r="C5" s="4" t="s">
        <v>390</v>
      </c>
      <c r="D5" s="4" t="s">
        <v>284</v>
      </c>
      <c r="E5" s="4" t="s">
        <v>399</v>
      </c>
      <c r="F5" s="4" t="s">
        <v>435</v>
      </c>
      <c r="G5" s="4" t="s">
        <v>436</v>
      </c>
      <c r="H5" s="4" t="s">
        <v>437</v>
      </c>
    </row>
    <row r="6" customFormat="false" ht="15" hidden="false" customHeight="false" outlineLevel="0" collapsed="false">
      <c r="A6" s="10" t="s">
        <v>438</v>
      </c>
      <c r="B6" s="52" t="n">
        <v>80000</v>
      </c>
      <c r="C6" s="52" t="n">
        <v>200000</v>
      </c>
      <c r="D6" s="52" t="n">
        <v>400000</v>
      </c>
      <c r="E6" s="52" t="n">
        <v>800000</v>
      </c>
      <c r="F6" s="52" t="n">
        <v>1600000</v>
      </c>
      <c r="G6" s="52" t="n">
        <v>4000000</v>
      </c>
      <c r="H6" s="52" t="n">
        <v>8000000</v>
      </c>
    </row>
    <row r="7" customFormat="false" ht="15" hidden="false" customHeight="false" outlineLevel="0" collapsed="false">
      <c r="A7" s="10" t="s">
        <v>439</v>
      </c>
      <c r="B7" s="52" t="n">
        <v>95000</v>
      </c>
      <c r="C7" s="52" t="n">
        <v>237500</v>
      </c>
      <c r="D7" s="52" t="n">
        <v>475000</v>
      </c>
      <c r="E7" s="52" t="n">
        <v>950000</v>
      </c>
      <c r="F7" s="52" t="n">
        <v>1900000</v>
      </c>
      <c r="G7" s="52" t="n">
        <v>4750000</v>
      </c>
      <c r="H7" s="52" t="n">
        <v>9500000</v>
      </c>
    </row>
    <row r="8" customFormat="false" ht="15" hidden="false" customHeight="false" outlineLevel="0" collapsed="false">
      <c r="A8" s="33" t="s">
        <v>440</v>
      </c>
      <c r="B8" s="43" t="n">
        <v>125000</v>
      </c>
      <c r="C8" s="43" t="n">
        <v>312500</v>
      </c>
      <c r="D8" s="43" t="n">
        <v>625000</v>
      </c>
      <c r="E8" s="43" t="n">
        <v>1250000</v>
      </c>
      <c r="F8" s="43" t="n">
        <v>2500000</v>
      </c>
      <c r="G8" s="43" t="n">
        <v>6250000</v>
      </c>
      <c r="H8" s="43" t="n">
        <v>12500000</v>
      </c>
    </row>
    <row r="9" customFormat="false" ht="15" hidden="false" customHeight="false" outlineLevel="0" collapsed="false">
      <c r="A9" s="10" t="s">
        <v>441</v>
      </c>
      <c r="B9" s="52" t="n">
        <v>155000</v>
      </c>
      <c r="C9" s="52" t="n">
        <v>387500</v>
      </c>
      <c r="D9" s="52" t="n">
        <v>775000</v>
      </c>
      <c r="E9" s="52" t="n">
        <v>1550000</v>
      </c>
      <c r="F9" s="52" t="n">
        <v>3100000</v>
      </c>
      <c r="G9" s="52" t="n">
        <v>7750000</v>
      </c>
      <c r="H9" s="52" t="n">
        <v>15500000</v>
      </c>
    </row>
    <row r="10" customFormat="false" ht="15" hidden="false" customHeight="false" outlineLevel="0" collapsed="false">
      <c r="A10" s="10" t="s">
        <v>442</v>
      </c>
      <c r="B10" s="52" t="n">
        <v>200000</v>
      </c>
      <c r="C10" s="52" t="n">
        <v>500000</v>
      </c>
      <c r="D10" s="52" t="n">
        <v>1000000</v>
      </c>
      <c r="E10" s="52" t="n">
        <v>2000000</v>
      </c>
      <c r="F10" s="52" t="n">
        <v>4000000</v>
      </c>
      <c r="G10" s="52" t="n">
        <v>10000000</v>
      </c>
      <c r="H10" s="52" t="n">
        <v>20000000</v>
      </c>
    </row>
    <row r="11" customFormat="false" ht="15" hidden="false" customHeight="false" outlineLevel="0" collapsed="false">
      <c r="A11" s="10" t="s">
        <v>443</v>
      </c>
      <c r="B11" s="52" t="n">
        <v>275000</v>
      </c>
      <c r="C11" s="52" t="n">
        <v>687500</v>
      </c>
      <c r="D11" s="52" t="n">
        <v>1375000</v>
      </c>
      <c r="E11" s="52" t="n">
        <v>2750000</v>
      </c>
      <c r="F11" s="52" t="n">
        <v>5500000</v>
      </c>
      <c r="G11" s="52" t="n">
        <v>13750000</v>
      </c>
      <c r="H11" s="52" t="n">
        <v>27500000</v>
      </c>
    </row>
    <row r="13" customFormat="false" ht="15" hidden="false" customHeight="false" outlineLevel="0" collapsed="false">
      <c r="A13" s="3" t="s">
        <v>444</v>
      </c>
      <c r="B13" s="3"/>
      <c r="C13" s="3"/>
      <c r="D13" s="3"/>
      <c r="E13" s="3"/>
      <c r="F13" s="3"/>
      <c r="G13" s="3"/>
      <c r="H13" s="3"/>
      <c r="I13" s="3"/>
    </row>
    <row r="14" customFormat="false" ht="27.75" hidden="false" customHeight="true" outlineLevel="0" collapsed="false">
      <c r="A14" s="47" t="s">
        <v>445</v>
      </c>
      <c r="B14" s="47"/>
      <c r="C14" s="47"/>
      <c r="D14" s="47"/>
      <c r="E14" s="47"/>
      <c r="F14" s="47"/>
      <c r="G14" s="47"/>
      <c r="H14" s="47"/>
      <c r="I14" s="47"/>
    </row>
    <row r="16" customFormat="false" ht="15" hidden="false" customHeight="false" outlineLevel="0" collapsed="false">
      <c r="A16" s="4" t="s">
        <v>446</v>
      </c>
      <c r="B16" s="4" t="s">
        <v>447</v>
      </c>
      <c r="C16" s="4" t="s">
        <v>448</v>
      </c>
      <c r="D16" s="4" t="s">
        <v>449</v>
      </c>
      <c r="E16" s="4" t="s">
        <v>450</v>
      </c>
      <c r="F16" s="4" t="s">
        <v>451</v>
      </c>
      <c r="G16" s="4"/>
      <c r="H16" s="4"/>
      <c r="I16" s="4"/>
    </row>
    <row r="17" customFormat="false" ht="15" hidden="false" customHeight="false" outlineLevel="0" collapsed="false">
      <c r="A17" s="10" t="s">
        <v>452</v>
      </c>
      <c r="B17" s="80" t="n">
        <v>0.006</v>
      </c>
      <c r="C17" s="80" t="n">
        <v>0.016</v>
      </c>
      <c r="D17" s="81" t="n">
        <v>0.026</v>
      </c>
      <c r="E17" s="81" t="n">
        <v>0.046</v>
      </c>
      <c r="F17" s="10" t="s">
        <v>453</v>
      </c>
      <c r="G17" s="10"/>
      <c r="H17" s="10"/>
      <c r="I17" s="10"/>
    </row>
    <row r="18" customFormat="false" ht="15" hidden="false" customHeight="false" outlineLevel="0" collapsed="false">
      <c r="A18" s="10" t="s">
        <v>454</v>
      </c>
      <c r="B18" s="80" t="n">
        <v>0.002</v>
      </c>
      <c r="C18" s="80" t="n">
        <v>0.012</v>
      </c>
      <c r="D18" s="81" t="n">
        <v>0.022</v>
      </c>
      <c r="E18" s="81" t="n">
        <v>0.042</v>
      </c>
      <c r="F18" s="10" t="s">
        <v>453</v>
      </c>
      <c r="G18" s="10"/>
      <c r="H18" s="10"/>
      <c r="I18" s="10"/>
    </row>
    <row r="19" customFormat="false" ht="15" hidden="false" customHeight="false" outlineLevel="0" collapsed="false">
      <c r="A19" s="33" t="s">
        <v>455</v>
      </c>
      <c r="B19" s="82" t="n">
        <v>-0.006</v>
      </c>
      <c r="C19" s="83" t="n">
        <v>0.004</v>
      </c>
      <c r="D19" s="83" t="n">
        <v>0.014</v>
      </c>
      <c r="E19" s="84" t="n">
        <v>0.034</v>
      </c>
      <c r="F19" s="34" t="s">
        <v>453</v>
      </c>
      <c r="G19" s="34"/>
      <c r="H19" s="34"/>
      <c r="I19" s="34"/>
    </row>
    <row r="20" customFormat="false" ht="15" hidden="false" customHeight="false" outlineLevel="0" collapsed="false">
      <c r="A20" s="10" t="s">
        <v>456</v>
      </c>
      <c r="B20" s="85" t="n">
        <v>-0.03</v>
      </c>
      <c r="C20" s="85" t="n">
        <v>-0.02</v>
      </c>
      <c r="D20" s="85" t="n">
        <v>-0.01</v>
      </c>
      <c r="E20" s="80" t="n">
        <v>0.01</v>
      </c>
      <c r="F20" s="10" t="s">
        <v>453</v>
      </c>
      <c r="G20" s="10"/>
      <c r="H20" s="10"/>
      <c r="I20" s="10"/>
    </row>
    <row r="21" customFormat="false" ht="15" hidden="false" customHeight="false" outlineLevel="0" collapsed="false">
      <c r="A21" s="10" t="s">
        <v>457</v>
      </c>
      <c r="B21" s="85" t="n">
        <v>-0.07</v>
      </c>
      <c r="C21" s="85" t="n">
        <v>-0.06</v>
      </c>
      <c r="D21" s="85" t="n">
        <v>-0.05</v>
      </c>
      <c r="E21" s="85" t="n">
        <v>-0.03</v>
      </c>
      <c r="F21" s="10" t="s">
        <v>453</v>
      </c>
      <c r="G21" s="10"/>
      <c r="H21" s="10"/>
      <c r="I21" s="10"/>
    </row>
    <row r="23" customFormat="false" ht="36" hidden="false" customHeight="true" outlineLevel="0" collapsed="false">
      <c r="A23" s="47" t="s">
        <v>458</v>
      </c>
      <c r="B23" s="47"/>
      <c r="C23" s="47"/>
      <c r="D23" s="47"/>
      <c r="E23" s="47"/>
      <c r="F23" s="47"/>
      <c r="G23" s="47"/>
      <c r="H23" s="47"/>
      <c r="I23" s="47"/>
    </row>
    <row r="25" customFormat="false" ht="15" hidden="false" customHeight="false" outlineLevel="0" collapsed="false">
      <c r="A25" s="3" t="s">
        <v>459</v>
      </c>
      <c r="B25" s="3"/>
      <c r="C25" s="3"/>
      <c r="D25" s="3"/>
      <c r="E25" s="3"/>
      <c r="F25" s="3"/>
      <c r="G25" s="3"/>
      <c r="H25" s="3"/>
      <c r="I25" s="3"/>
    </row>
    <row r="26" customFormat="false" ht="15" hidden="false" customHeight="false" outlineLevel="0" collapsed="false">
      <c r="A26" s="4" t="s">
        <v>460</v>
      </c>
      <c r="B26" s="4" t="s">
        <v>461</v>
      </c>
      <c r="C26" s="4" t="s">
        <v>462</v>
      </c>
      <c r="D26" s="4" t="s">
        <v>463</v>
      </c>
      <c r="E26" s="4" t="s">
        <v>218</v>
      </c>
      <c r="F26" s="4" t="s">
        <v>10</v>
      </c>
      <c r="G26" s="4"/>
      <c r="H26" s="4"/>
      <c r="I26" s="4"/>
    </row>
    <row r="27" customFormat="false" ht="15" hidden="false" customHeight="false" outlineLevel="0" collapsed="false">
      <c r="A27" s="5" t="s">
        <v>464</v>
      </c>
      <c r="B27" s="7" t="n">
        <v>139000000</v>
      </c>
      <c r="C27" s="30" t="n">
        <v>55600000</v>
      </c>
      <c r="D27" s="30" t="n">
        <v>2415000</v>
      </c>
      <c r="E27" s="86" t="n">
        <v>0.0434352517985612</v>
      </c>
      <c r="F27" s="5" t="s">
        <v>465</v>
      </c>
      <c r="G27" s="5"/>
      <c r="H27" s="5"/>
      <c r="I27" s="5"/>
    </row>
    <row r="28" customFormat="false" ht="15" hidden="false" customHeight="false" outlineLevel="0" collapsed="false">
      <c r="A28" s="10" t="s">
        <v>466</v>
      </c>
      <c r="B28" s="12" t="n">
        <v>208500000</v>
      </c>
      <c r="C28" s="52" t="n">
        <v>83400000</v>
      </c>
      <c r="D28" s="52" t="n">
        <v>2415000</v>
      </c>
      <c r="E28" s="80" t="n">
        <v>0.0289568345323741</v>
      </c>
      <c r="F28" s="10" t="s">
        <v>465</v>
      </c>
      <c r="G28" s="10"/>
      <c r="H28" s="10"/>
      <c r="I28" s="10"/>
    </row>
    <row r="29" customFormat="false" ht="15" hidden="false" customHeight="false" outlineLevel="0" collapsed="false">
      <c r="A29" s="5" t="s">
        <v>467</v>
      </c>
      <c r="B29" s="7" t="n">
        <v>278000000</v>
      </c>
      <c r="C29" s="30" t="n">
        <v>111200000</v>
      </c>
      <c r="D29" s="30" t="n">
        <v>2415000</v>
      </c>
      <c r="E29" s="86" t="n">
        <v>0.0217176258992806</v>
      </c>
      <c r="F29" s="5" t="s">
        <v>465</v>
      </c>
      <c r="G29" s="5"/>
      <c r="H29" s="5"/>
      <c r="I29" s="5"/>
    </row>
    <row r="30" customFormat="false" ht="15" hidden="false" customHeight="false" outlineLevel="0" collapsed="false">
      <c r="A30" s="10" t="s">
        <v>468</v>
      </c>
      <c r="B30" s="12" t="n">
        <v>347500000</v>
      </c>
      <c r="C30" s="52" t="n">
        <v>139000000</v>
      </c>
      <c r="D30" s="52" t="n">
        <v>2415000</v>
      </c>
      <c r="E30" s="80" t="n">
        <v>0.0173741007194245</v>
      </c>
      <c r="F30" s="10" t="s">
        <v>469</v>
      </c>
      <c r="G30" s="10"/>
      <c r="H30" s="10"/>
      <c r="I30" s="10"/>
    </row>
    <row r="31" customFormat="false" ht="15" hidden="false" customHeight="false" outlineLevel="0" collapsed="false">
      <c r="A31" s="5" t="s">
        <v>470</v>
      </c>
      <c r="B31" s="7" t="n">
        <v>417000000</v>
      </c>
      <c r="C31" s="30" t="n">
        <v>166800000</v>
      </c>
      <c r="D31" s="30" t="n">
        <v>2415000</v>
      </c>
      <c r="E31" s="86" t="n">
        <v>0.0144784172661871</v>
      </c>
      <c r="F31" s="5" t="s">
        <v>469</v>
      </c>
      <c r="G31" s="5"/>
      <c r="H31" s="5"/>
      <c r="I31" s="5"/>
    </row>
    <row r="32" customFormat="false" ht="15" hidden="false" customHeight="false" outlineLevel="0" collapsed="false">
      <c r="A32" s="10" t="s">
        <v>471</v>
      </c>
      <c r="B32" s="12" t="n">
        <v>486500000</v>
      </c>
      <c r="C32" s="52" t="n">
        <v>194600000</v>
      </c>
      <c r="D32" s="52" t="n">
        <v>2415000</v>
      </c>
      <c r="E32" s="80" t="n">
        <v>0.012410071942446</v>
      </c>
      <c r="F32" s="10" t="s">
        <v>469</v>
      </c>
      <c r="G32" s="10"/>
      <c r="H32" s="10"/>
      <c r="I32" s="10"/>
    </row>
  </sheetData>
  <mergeCells count="20">
    <mergeCell ref="A1:I1"/>
    <mergeCell ref="A2:I2"/>
    <mergeCell ref="A4:I4"/>
    <mergeCell ref="A13:I13"/>
    <mergeCell ref="A14:I14"/>
    <mergeCell ref="G16:I16"/>
    <mergeCell ref="F17:I17"/>
    <mergeCell ref="F18:I18"/>
    <mergeCell ref="F19:I19"/>
    <mergeCell ref="F20:I20"/>
    <mergeCell ref="F21:I21"/>
    <mergeCell ref="A23:I23"/>
    <mergeCell ref="A25:I25"/>
    <mergeCell ref="F26:I26"/>
    <mergeCell ref="F27:I27"/>
    <mergeCell ref="F28:I28"/>
    <mergeCell ref="F29:I29"/>
    <mergeCell ref="F30:I30"/>
    <mergeCell ref="F31:I31"/>
    <mergeCell ref="F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2026-04-06T08:11:56Z</dcterms:created>
  <dc:creator>openpyxl</dc:creator>
  <dc:description/>
  <dc:language>en-US</dc:language>
  <cp:lastModifiedBy/>
  <dcterms:modified xsi:type="dcterms:W3CDTF">2026-04-06T08:11:56Z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