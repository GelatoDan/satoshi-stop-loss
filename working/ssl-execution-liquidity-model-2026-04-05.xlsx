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ssumptions" sheetId="2" r:id="rId2"/>
    <sheet name="Venue Depth" sheetId="3" r:id="rId3"/>
    <sheet name="Scenarios" sheetId="4" r:id="rId4"/>
  </sheets>
  <calcPr calcId="181029" calcMode="auto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0" fontId="0" fillId="0" borderId="0" xfId="0" applyNumberFormat="1"/>
    <xf numFmtId="4" fontId="0" fillId="0" borderId="0" xfId="0" applyNumberFormat="1"/>
    <xf numFmtId="164" fontId="1" fillId="0" borderId="0" xfId="0" applyFont="1" applyNumberFormat="1"/>
    <xf numFmtId="10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23"/>
  <sheetViews>
    <sheetView workbookViewId="0"/>
  </sheetViews>
  <sheetFormatPr defaultRowHeight="15"/>
  <cols>
    <col min="1" max="1" width="42" customWidth="1"/>
    <col min="2" max="2" width="18" customWidth="1"/>
    <col min="3" max="3" width="52" customWidth="1"/>
  </cols>
  <sheetData>
    <row r="1">
      <c r="A1" t="inlineStr" s="1">
        <is>
          <t>Satoshi Stop Loss - Execution Liquidity Model</t>
        </is>
      </c>
    </row>
    <row r="2">
      <c r="A2" t="inlineStr">
        <is>
          <t>Assumption-based model for fast execution using a dedicated capital pool equal to 3% of insured value.</t>
        </is>
      </c>
    </row>
    <row r="3"/>
    <row r="4">
      <c r="A4" t="inlineStr" s="1">
        <is>
          <t>Key outputs</t>
        </is>
      </c>
      <c r="C4" t="inlineStr" s="1">
        <is>
          <t>Notes</t>
        </is>
      </c>
    </row>
    <row r="5">
      <c r="A5" t="inlineStr">
        <is>
          <t>Capital pool as % of insured value</t>
        </is>
      </c>
      <c r="B5" s="3">
        <f>Assumptions!B6</f>
      </c>
      <c r="C5" t="inlineStr">
        <is>
          <t>Editable in Assumptions sheet</t>
        </is>
      </c>
    </row>
    <row r="6">
      <c r="A6" t="inlineStr">
        <is>
          <t>BTC share of insured value</t>
        </is>
      </c>
      <c r="B6" s="3">
        <f>Assumptions!B5</f>
      </c>
      <c r="C6" t="inlineStr">
        <is>
          <t>Used to convert insured value into BTC-exposed notional</t>
        </is>
      </c>
    </row>
    <row r="7">
      <c r="A7" t="inlineStr">
        <is>
          <t>Effective executable depth at 25 bps</t>
        </is>
      </c>
      <c r="B7" s="2">
        <f>'Venue Depth'!C13</f>
      </c>
      <c r="C7" t="inlineStr">
        <is>
          <t>Aggregate visible depth after participation, haircut, and market multiplier</t>
        </is>
      </c>
    </row>
    <row r="8">
      <c r="A8" t="inlineStr">
        <is>
          <t>Effective executable depth at 50 bps</t>
        </is>
      </c>
      <c r="B8" s="2">
        <f>'Venue Depth'!D13</f>
      </c>
      <c r="C8" t="inlineStr">
        <is>
          <t>Base fast-sweep capacity before residual warehousing</t>
        </is>
      </c>
    </row>
    <row r="9">
      <c r="A9" t="inlineStr">
        <is>
          <t>Effective executable depth at 100 bps</t>
        </is>
      </c>
      <c r="B9" s="2">
        <f>'Venue Depth'!E13</f>
      </c>
      <c r="C9" t="inlineStr">
        <is>
          <t>Upper end of immediate sweep used in this model</t>
        </is>
      </c>
    </row>
    <row r="10"/>
    <row r="11">
      <c r="A11" t="inlineStr">
        <is>
          <t>Max insured value supported at 50 bps + pool</t>
        </is>
      </c>
      <c r="B11" s="2">
        <f>'Venue Depth'!D13/(Assumptions!B5-Assumptions!B6)</f>
      </c>
      <c r="C11" t="inlineStr">
        <is>
          <t>Solves insured * BTC share &lt;= depth + insured * pool %</t>
        </is>
      </c>
    </row>
    <row r="12">
      <c r="A12" t="inlineStr">
        <is>
          <t>Max insured value supported at 100 bps + pool</t>
        </is>
      </c>
      <c r="B12" s="2">
        <f>'Venue Depth'!E13/(Assumptions!B5-Assumptions!B6)</f>
      </c>
      <c r="C12" t="inlineStr">
        <is>
          <t>Useful rough upper bound for the 'fast as possible' design</t>
        </is>
      </c>
    </row>
    <row r="13"/>
    <row r="14">
      <c r="A14" t="inlineStr" s="1">
        <is>
          <t>Illustrative example</t>
        </is>
      </c>
    </row>
    <row r="15">
      <c r="A15" t="inlineStr">
        <is>
          <t>Insured value</t>
        </is>
      </c>
      <c r="B15" s="2">
        <v>200000000</v>
      </c>
    </row>
    <row r="16">
      <c r="A16" t="inlineStr">
        <is>
          <t>BTC-exposed notional</t>
        </is>
      </c>
      <c r="B16" s="2">
        <f>B15*Assumptions!B5</f>
      </c>
    </row>
    <row r="17">
      <c r="A17" t="inlineStr">
        <is>
          <t>Capital pool</t>
        </is>
      </c>
      <c r="B17" s="2">
        <f>B15*Assumptions!B6</f>
      </c>
    </row>
    <row r="18">
      <c r="A18" t="inlineStr">
        <is>
          <t>Modeled market impact</t>
        </is>
      </c>
      <c r="B18" s="3">
        <f>IF(B16&lt;=0,0,IF(B16&lt;='Venue Depth'!B13,0.001*B16/'Venue Depth'!B13,IF(B16&lt;='Venue Depth'!C13,0.001+(0.0025-0.001)*(B16-'Venue Depth'!B13)/('Venue Depth'!C13-'Venue Depth'!B13),IF(B16&lt;='Venue Depth'!D13,0.0025+(0.005-0.0025)*(B16-'Venue Depth'!C13)/('Venue Depth'!D13-'Venue Depth'!C13),IF(B16&lt;='Venue Depth'!E13,0.005+(0.01-0.005)*(B16-'Venue Depth'!D13)/('Venue Depth'!E13-'Venue Depth'!D13),0.01+(Assumptions!B10*0.01)*((B16-'Venue Depth'!E13)/'Venue Depth'!E13))))))</f>
      </c>
    </row>
    <row r="19">
      <c r="A19" t="inlineStr">
        <is>
          <t>Modeled slippage cost</t>
        </is>
      </c>
      <c r="B19" s="2">
        <f>B16*B18</f>
      </c>
    </row>
    <row r="20">
      <c r="A20" t="inlineStr">
        <is>
          <t>Pool / slippage coverage ratio</t>
        </is>
      </c>
      <c r="B20" s="4">
        <f>IF(B19=0,0,B17/B19)</f>
      </c>
    </row>
    <row r="21">
      <c r="A21" t="inlineStr">
        <is>
          <t>Residual beyond 100 bps depth</t>
        </is>
      </c>
      <c r="B21" s="2">
        <f>MAX(B16-'Venue Depth'!E12,0)</f>
      </c>
    </row>
    <row r="22">
      <c r="A22" t="inlineStr">
        <is>
          <t>Residual uncovered after pool</t>
        </is>
      </c>
      <c r="B22" s="2">
        <f>MAX(B21-B17,0)</f>
      </c>
    </row>
    <row r="23">
      <c r="A23" t="inlineStr">
        <is>
          <t>Execution readout</t>
        </is>
      </c>
      <c r="B23">
        <f>IF(AND(B20&gt;=1,B22=0),"Fast-executable under model","Constrained under model")</f>
      </c>
    </row>
  </sheetData>
</worksheet>
</file>

<file path=xl/worksheets/sheet2.xml><?xml version="1.0" encoding="utf-8"?>
<worksheet xmlns="http://schemas.openxmlformats.org/spreadsheetml/2006/main">
  <dimension ref="A1:C16"/>
  <sheetViews>
    <sheetView workbookViewId="0"/>
  </sheetViews>
  <sheetFormatPr defaultRowHeight="15"/>
  <cols>
    <col min="1" max="1" width="42" customWidth="1"/>
    <col min="2" max="2" width="16" customWidth="1"/>
    <col min="3" max="3" width="60" customWidth="1"/>
  </cols>
  <sheetData>
    <row r="1">
      <c r="A1" t="inlineStr" s="1">
        <is>
          <t>Assumptions</t>
        </is>
      </c>
    </row>
    <row r="2">
      <c r="A2" t="inlineStr">
        <is>
          <t>Update the inputs in column B to change the model.</t>
        </is>
      </c>
    </row>
    <row r="3"/>
    <row r="4">
      <c r="A4" t="inlineStr" s="1">
        <is>
          <t>Input</t>
        </is>
      </c>
      <c r="B4" t="inlineStr" s="1">
        <is>
          <t>Value</t>
        </is>
      </c>
      <c r="C4" t="inlineStr" s="1">
        <is>
          <t>Comment</t>
        </is>
      </c>
    </row>
    <row r="5">
      <c r="A5" t="inlineStr">
        <is>
          <t>BTC share of insured value</t>
        </is>
      </c>
      <c r="B5" s="3">
        <v>0.6</v>
      </c>
      <c r="C5" t="inlineStr">
        <is>
          <t>Share of insured value assumed to require BTC liquidation or hedge capacity</t>
        </is>
      </c>
    </row>
    <row r="6">
      <c r="A6" t="inlineStr">
        <is>
          <t>Dedicated capital pool (% of insured value)</t>
        </is>
      </c>
      <c r="B6" s="3">
        <v>0.03</v>
      </c>
      <c r="C6" t="inlineStr">
        <is>
          <t>Fixed at 3% for this prototype</t>
        </is>
      </c>
    </row>
    <row r="7">
      <c r="A7" t="inlineStr">
        <is>
          <t>Participation rate of visible liquidity</t>
        </is>
      </c>
      <c r="B7" s="3">
        <v>0.65</v>
      </c>
      <c r="C7" t="inlineStr">
        <is>
          <t>How much of quoted depth the protocol can realistically take in a fast sweep</t>
        </is>
      </c>
    </row>
    <row r="8">
      <c r="A8" t="inlineStr">
        <is>
          <t>Venue reliability haircut</t>
        </is>
      </c>
      <c r="B8" s="3">
        <v>0.8</v>
      </c>
      <c r="C8" t="inlineStr">
        <is>
          <t>Haircut for stale quotes, fragmentation, and venue constraints</t>
        </is>
      </c>
    </row>
    <row r="9">
      <c r="A9" t="inlineStr">
        <is>
          <t>Market stress multiplier</t>
        </is>
      </c>
      <c r="B9" s="3">
        <v>1.0</v>
      </c>
      <c r="C9" t="inlineStr">
        <is>
          <t>Set below 100% to model thinner books during shock conditions</t>
        </is>
      </c>
    </row>
    <row r="10">
      <c r="A10" t="inlineStr">
        <is>
          <t>Extra impact beyond 100 bps depth</t>
        </is>
      </c>
      <c r="B10" s="4">
        <v>0.75</v>
      </c>
      <c r="C10" t="inlineStr">
        <is>
          <t>Each extra 1x of 100 bps depth adds another 75 bps of impact</t>
        </is>
      </c>
    </row>
    <row r="11"/>
    <row r="12">
      <c r="A12" t="inlineStr" s="1">
        <is>
          <t>Interpretation notes</t>
        </is>
      </c>
    </row>
    <row r="13">
      <c r="A13" t="inlineStr">
        <is>
          <t>All venue depths in this workbook are illustrative placeholders, not live snapshots.</t>
        </is>
      </c>
    </row>
    <row r="14">
      <c r="A14" t="inlineStr">
        <is>
          <t>Effective depth = raw venue depth x participation rate x venue reliability haircut x market stress multiplier.</t>
        </is>
      </c>
    </row>
    <row r="15">
      <c r="A15" t="inlineStr">
        <is>
          <t>The fast-executable ceiling at a given depth solves insured x BTC share &lt;= effective depth + insured x pool %.</t>
        </is>
      </c>
    </row>
    <row r="16">
      <c r="A16" t="inlineStr">
        <is>
          <t>The slippage model interpolates between 10, 25, 50, and 100 bps depth points, then extrapolates beyond 100 bps.</t>
        </is>
      </c>
    </row>
  </sheetData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"/>
  <cols>
    <col min="1" max="1" width="20" customWidth="1"/>
    <col min="2" max="2" width="18" customWidth="1"/>
    <col min="3" max="3" width="18" customWidth="1"/>
    <col min="4" max="4" width="18" customWidth="1"/>
    <col min="5" max="5" width="18" customWidth="1"/>
  </cols>
  <sheetData>
    <row r="1">
      <c r="A1" t="inlineStr" s="1">
        <is>
          <t>Venue Depth Assumptions</t>
        </is>
      </c>
    </row>
    <row r="2">
      <c r="A2" t="inlineStr">
        <is>
          <t>Illustrative raw depth in USD notional available to hit immediately across major venues.</t>
        </is>
      </c>
    </row>
    <row r="3"/>
    <row r="4">
      <c r="A4" t="inlineStr" s="1">
        <is>
          <t>Venue</t>
        </is>
      </c>
      <c r="B4" t="inlineStr" s="1">
        <is>
          <t>10 bps raw</t>
        </is>
      </c>
      <c r="C4" t="inlineStr" s="1">
        <is>
          <t>25 bps raw</t>
        </is>
      </c>
      <c r="D4" t="inlineStr" s="1">
        <is>
          <t>50 bps raw</t>
        </is>
      </c>
      <c r="E4" t="inlineStr" s="1">
        <is>
          <t>100 bps raw</t>
        </is>
      </c>
    </row>
    <row r="5">
      <c r="A5" t="inlineStr">
        <is>
          <t>Binance</t>
        </is>
      </c>
      <c r="B5" s="2">
        <v>15000000</v>
      </c>
      <c r="C5" s="2">
        <v>30000000</v>
      </c>
      <c r="D5" s="2">
        <v>55000000</v>
      </c>
      <c r="E5" s="2">
        <v>95000000</v>
      </c>
    </row>
    <row r="6">
      <c r="A6" t="inlineStr">
        <is>
          <t>Coinbase</t>
        </is>
      </c>
      <c r="B6" s="2">
        <v>6000000</v>
      </c>
      <c r="C6" s="2">
        <v>14000000</v>
      </c>
      <c r="D6" s="2">
        <v>28000000</v>
      </c>
      <c r="E6" s="2">
        <v>50000000</v>
      </c>
    </row>
    <row r="7">
      <c r="A7" t="inlineStr">
        <is>
          <t>Bybit</t>
        </is>
      </c>
      <c r="B7" s="2">
        <v>5000000</v>
      </c>
      <c r="C7" s="2">
        <v>12000000</v>
      </c>
      <c r="D7" s="2">
        <v>24000000</v>
      </c>
      <c r="E7" s="2">
        <v>42000000</v>
      </c>
    </row>
    <row r="8">
      <c r="A8" t="inlineStr">
        <is>
          <t>OKX</t>
        </is>
      </c>
      <c r="B8" s="2">
        <v>4000000</v>
      </c>
      <c r="C8" s="2">
        <v>10000000</v>
      </c>
      <c r="D8" s="2">
        <v>20000000</v>
      </c>
      <c r="E8" s="2">
        <v>36000000</v>
      </c>
    </row>
    <row r="9">
      <c r="A9" t="inlineStr">
        <is>
          <t>Kraken</t>
        </is>
      </c>
      <c r="B9" s="2">
        <v>2000000</v>
      </c>
      <c r="C9" s="2">
        <v>5000000</v>
      </c>
      <c r="D9" s="2">
        <v>10000000</v>
      </c>
      <c r="E9" s="2">
        <v>18000000</v>
      </c>
    </row>
    <row r="10">
      <c r="A10" t="inlineStr">
        <is>
          <t>Bitstamp</t>
        </is>
      </c>
      <c r="B10" s="2">
        <v>1000000</v>
      </c>
      <c r="C10" s="2">
        <v>2500000</v>
      </c>
      <c r="D10" s="2">
        <v>5000000</v>
      </c>
      <c r="E10" s="2">
        <v>9000000</v>
      </c>
    </row>
    <row r="11"/>
    <row r="12">
      <c r="A12" t="inlineStr" s="1">
        <is>
          <t>Total raw depth</t>
        </is>
      </c>
      <c r="B12" s="5">
        <f>SUM(B5:B10)</f>
      </c>
      <c r="C12" s="5">
        <f>SUM(C5:C10)</f>
      </c>
      <c r="D12" s="5">
        <f>SUM(D5:D10)</f>
      </c>
      <c r="E12" s="5">
        <f>SUM(E5:E10)</f>
      </c>
    </row>
    <row r="13">
      <c r="A13" t="inlineStr" s="1">
        <is>
          <t>Effective total depth</t>
        </is>
      </c>
      <c r="B13" s="5">
        <f>B12*Assumptions!B7*Assumptions!B8*Assumptions!B9</f>
      </c>
      <c r="C13" s="5">
        <f>C12*Assumptions!B7*Assumptions!B8*Assumptions!B9</f>
      </c>
      <c r="D13" s="5">
        <f>D12*Assumptions!B7*Assumptions!B8*Assumptions!B9</f>
      </c>
      <c r="E13" s="5">
        <f>E12*Assumptions!B7*Assumptions!B8*Assumptions!B9</f>
      </c>
    </row>
    <row r="14"/>
    <row r="15">
      <c r="A15" t="inlineStr" s="1">
        <is>
          <t>Implied max insured value at depth + pool</t>
        </is>
      </c>
    </row>
    <row r="16">
      <c r="A16" t="inlineStr">
        <is>
          <t>Using 10 bps depth</t>
        </is>
      </c>
      <c r="B16" s="2">
        <f>B13/(Assumptions!B5-Assumptions!B6)</f>
      </c>
    </row>
    <row r="17">
      <c r="A17" t="inlineStr">
        <is>
          <t>Using 25 bps depth</t>
        </is>
      </c>
      <c r="B17" s="2">
        <f>C13/(Assumptions!B5-Assumptions!B6)</f>
      </c>
    </row>
    <row r="18">
      <c r="A18" t="inlineStr">
        <is>
          <t>Using 50 bps depth</t>
        </is>
      </c>
      <c r="B18" s="2">
        <f>D13/(Assumptions!B5-Assumptions!B6)</f>
      </c>
    </row>
    <row r="19">
      <c r="A19" t="inlineStr">
        <is>
          <t>Using 100 bps depth</t>
        </is>
      </c>
      <c r="B19" s="2">
        <f>E13/(Assumptions!B5-Assumptions!B6)</f>
      </c>
    </row>
  </sheetData>
</worksheet>
</file>

<file path=xl/worksheets/sheet4.xml><?xml version="1.0" encoding="utf-8"?>
<worksheet xmlns="http://schemas.openxmlformats.org/spreadsheetml/2006/main">
  <dimension ref="A1:L16"/>
  <sheetViews>
    <sheetView workbookViewId="0"/>
  </sheetViews>
  <sheetFormatPr defaultRowHeight="15"/>
  <cols>
    <col min="1" max="1" width="18" customWidth="1"/>
    <col min="2" max="2" width="16" customWidth="1"/>
    <col min="3" max="3" width="16" customWidth="1"/>
    <col min="4" max="4" width="16" customWidth="1"/>
    <col min="5" max="5" width="12" customWidth="1"/>
    <col min="6" max="6" width="12" customWidth="1"/>
    <col min="7" max="7" width="16" customWidth="1"/>
    <col min="8" max="8" width="14" customWidth="1"/>
    <col min="9" max="9" width="16" customWidth="1"/>
    <col min="10" max="10" width="14" customWidth="1"/>
    <col min="11" max="11" width="18" customWidth="1"/>
    <col min="12" max="12" width="18" customWidth="1"/>
  </cols>
  <sheetData>
    <row r="1">
      <c r="A1" t="inlineStr" s="1">
        <is>
          <t>Scenario Table</t>
        </is>
      </c>
    </row>
    <row r="2">
      <c r="A2" t="inlineStr">
        <is>
          <t>Each row estimates what immediate execution looks like if the protocol tries to move as fast as possible using exchange depth plus the 3% capital pool.</t>
        </is>
      </c>
    </row>
    <row r="3"/>
    <row r="4">
      <c r="A4" t="inlineStr" s="1">
        <is>
          <t>Scenario</t>
        </is>
      </c>
      <c r="B4" t="inlineStr" s="1">
        <is>
          <t>Insured value</t>
        </is>
      </c>
      <c r="C4" t="inlineStr" s="1">
        <is>
          <t>BTC exposed</t>
        </is>
      </c>
      <c r="D4" t="inlineStr" s="1">
        <is>
          <t>Capital pool</t>
        </is>
      </c>
      <c r="E4" t="inlineStr" s="1">
        <is>
          <t>Impact %</t>
        </is>
      </c>
      <c r="F4" t="inlineStr" s="1">
        <is>
          <t>Impact bps</t>
        </is>
      </c>
      <c r="G4" t="inlineStr" s="1">
        <is>
          <t>Slippage $</t>
        </is>
      </c>
      <c r="H4" t="inlineStr" s="1">
        <is>
          <t>Pool / slippage</t>
        </is>
      </c>
      <c r="I4" t="inlineStr" s="1">
        <is>
          <t>Residual &gt;100bps</t>
        </is>
      </c>
      <c r="J4" t="inlineStr" s="1">
        <is>
          <t>Pool used</t>
        </is>
      </c>
      <c r="K4" t="inlineStr" s="1">
        <is>
          <t>Residual uncovered</t>
        </is>
      </c>
      <c r="L4" t="inlineStr" s="1">
        <is>
          <t>Readout</t>
        </is>
      </c>
    </row>
    <row r="5">
      <c r="A5" t="inlineStr">
        <is>
          <t>Pilot</t>
        </is>
      </c>
      <c r="B5" s="2">
        <v>25000000</v>
      </c>
      <c r="C5" s="2">
        <f>B5*Assumptions!B5</f>
      </c>
      <c r="D5" s="2">
        <f>B5*Assumptions!B6</f>
      </c>
      <c r="E5" s="3">
        <f>IF(C5&lt;=0,0,IF(C5&lt;='Venue Depth'!B13,0.001*C5/'Venue Depth'!B13,IF(C5&lt;='Venue Depth'!C13,0.001+(0.0025-0.001)*(C5-'Venue Depth'!B13)/('Venue Depth'!C13-'Venue Depth'!B13),IF(C5&lt;='Venue Depth'!D13,0.0025+(0.005-0.0025)*(C5-'Venue Depth'!C13)/('Venue Depth'!D13-'Venue Depth'!C13),IF(C5&lt;='Venue Depth'!E13,0.005+(0.01-0.005)*(C5-'Venue Depth'!D13)/('Venue Depth'!E13-'Venue Depth'!D13),0.01+(Assumptions!B10*0.01)*((C5-'Venue Depth'!E13)/'Venue Depth'!E13))))))</f>
      </c>
      <c r="F5" s="4">
        <f>E5*10000</f>
      </c>
      <c r="G5" s="2">
        <f>C5*E5</f>
      </c>
      <c r="H5" s="4">
        <f>IF(G5=0,0,D5/G5)</f>
      </c>
      <c r="I5" s="2">
        <f>MAX(C5-'Venue Depth'!E13,0)</f>
      </c>
      <c r="J5" s="2">
        <f>MIN(D5,I5)</f>
      </c>
      <c r="K5" s="2">
        <f>MAX(I5-J5,0)</f>
      </c>
      <c r="L5">
        <f>IF(AND(H5&gt;=1,K5=0),"Fast-executable","Constrained")</f>
      </c>
    </row>
    <row r="6">
      <c r="A6" t="inlineStr">
        <is>
          <t>Small</t>
        </is>
      </c>
      <c r="B6" s="2">
        <v>50000000</v>
      </c>
      <c r="C6" s="2">
        <f>B6*Assumptions!B5</f>
      </c>
      <c r="D6" s="2">
        <f>B6*Assumptions!B6</f>
      </c>
      <c r="E6" s="3">
        <f>IF(C6&lt;=0,0,IF(C6&lt;='Venue Depth'!B13,0.001*C6/'Venue Depth'!B13,IF(C6&lt;='Venue Depth'!C13,0.001+(0.0025-0.001)*(C6-'Venue Depth'!B13)/('Venue Depth'!C13-'Venue Depth'!B13),IF(C6&lt;='Venue Depth'!D13,0.0025+(0.005-0.0025)*(C6-'Venue Depth'!C13)/('Venue Depth'!D13-'Venue Depth'!C13),IF(C6&lt;='Venue Depth'!E13,0.005+(0.01-0.005)*(C6-'Venue Depth'!D13)/('Venue Depth'!E13-'Venue Depth'!D13),0.01+(Assumptions!B10*0.01)*((C6-'Venue Depth'!E13)/'Venue Depth'!E13))))))</f>
      </c>
      <c r="F6" s="4">
        <f>E6*10000</f>
      </c>
      <c r="G6" s="2">
        <f>C6*E6</f>
      </c>
      <c r="H6" s="4">
        <f>IF(G6=0,0,D6/G6)</f>
      </c>
      <c r="I6" s="2">
        <f>MAX(C6-'Venue Depth'!E13,0)</f>
      </c>
      <c r="J6" s="2">
        <f>MIN(D6,I6)</f>
      </c>
      <c r="K6" s="2">
        <f>MAX(I6-J6,0)</f>
      </c>
      <c r="L6">
        <f>IF(AND(H6&gt;=1,K6=0),"Fast-executable","Constrained")</f>
      </c>
    </row>
    <row r="7">
      <c r="A7" t="inlineStr">
        <is>
          <t>Launch</t>
        </is>
      </c>
      <c r="B7" s="2">
        <v>100000000</v>
      </c>
      <c r="C7" s="2">
        <f>B7*Assumptions!B5</f>
      </c>
      <c r="D7" s="2">
        <f>B7*Assumptions!B6</f>
      </c>
      <c r="E7" s="3">
        <f>IF(C7&lt;=0,0,IF(C7&lt;='Venue Depth'!B13,0.001*C7/'Venue Depth'!B13,IF(C7&lt;='Venue Depth'!C13,0.001+(0.0025-0.001)*(C7-'Venue Depth'!B13)/('Venue Depth'!C13-'Venue Depth'!B13),IF(C7&lt;='Venue Depth'!D13,0.0025+(0.005-0.0025)*(C7-'Venue Depth'!C13)/('Venue Depth'!D13-'Venue Depth'!C13),IF(C7&lt;='Venue Depth'!E13,0.005+(0.01-0.005)*(C7-'Venue Depth'!D13)/('Venue Depth'!E13-'Venue Depth'!D13),0.01+(Assumptions!B10*0.01)*((C7-'Venue Depth'!E13)/'Venue Depth'!E13))))))</f>
      </c>
      <c r="F7" s="4">
        <f>E7*10000</f>
      </c>
      <c r="G7" s="2">
        <f>C7*E7</f>
      </c>
      <c r="H7" s="4">
        <f>IF(G7=0,0,D7/G7)</f>
      </c>
      <c r="I7" s="2">
        <f>MAX(C7-'Venue Depth'!E13,0)</f>
      </c>
      <c r="J7" s="2">
        <f>MIN(D7,I7)</f>
      </c>
      <c r="K7" s="2">
        <f>MAX(I7-J7,0)</f>
      </c>
      <c r="L7">
        <f>IF(AND(H7&gt;=1,K7=0),"Fast-executable","Constrained")</f>
      </c>
    </row>
    <row r="8">
      <c r="A8" t="inlineStr">
        <is>
          <t>Scaled</t>
        </is>
      </c>
      <c r="B8" s="2">
        <v>150000000</v>
      </c>
      <c r="C8" s="2">
        <f>B8*Assumptions!B5</f>
      </c>
      <c r="D8" s="2">
        <f>B8*Assumptions!B6</f>
      </c>
      <c r="E8" s="3">
        <f>IF(C8&lt;=0,0,IF(C8&lt;='Venue Depth'!B13,0.001*C8/'Venue Depth'!B13,IF(C8&lt;='Venue Depth'!C13,0.001+(0.0025-0.001)*(C8-'Venue Depth'!B13)/('Venue Depth'!C13-'Venue Depth'!B13),IF(C8&lt;='Venue Depth'!D13,0.0025+(0.005-0.0025)*(C8-'Venue Depth'!C13)/('Venue Depth'!D13-'Venue Depth'!C13),IF(C8&lt;='Venue Depth'!E13,0.005+(0.01-0.005)*(C8-'Venue Depth'!D13)/('Venue Depth'!E13-'Venue Depth'!D13),0.01+(Assumptions!B10*0.01)*((C8-'Venue Depth'!E13)/'Venue Depth'!E13))))))</f>
      </c>
      <c r="F8" s="4">
        <f>E8*10000</f>
      </c>
      <c r="G8" s="2">
        <f>C8*E8</f>
      </c>
      <c r="H8" s="4">
        <f>IF(G8=0,0,D8/G8)</f>
      </c>
      <c r="I8" s="2">
        <f>MAX(C8-'Venue Depth'!E13,0)</f>
      </c>
      <c r="J8" s="2">
        <f>MIN(D8,I8)</f>
      </c>
      <c r="K8" s="2">
        <f>MAX(I8-J8,0)</f>
      </c>
      <c r="L8">
        <f>IF(AND(H8&gt;=1,K8=0),"Fast-executable","Constrained")</f>
      </c>
    </row>
    <row r="9">
      <c r="A9" t="inlineStr">
        <is>
          <t>Upper base range</t>
        </is>
      </c>
      <c r="B9" s="2">
        <v>200000000</v>
      </c>
      <c r="C9" s="2">
        <f>B9*Assumptions!B5</f>
      </c>
      <c r="D9" s="2">
        <f>B9*Assumptions!B6</f>
      </c>
      <c r="E9" s="3">
        <f>IF(C9&lt;=0,0,IF(C9&lt;='Venue Depth'!B13,0.001*C9/'Venue Depth'!B13,IF(C9&lt;='Venue Depth'!C13,0.001+(0.0025-0.001)*(C9-'Venue Depth'!B13)/('Venue Depth'!C13-'Venue Depth'!B13),IF(C9&lt;='Venue Depth'!D13,0.0025+(0.005-0.0025)*(C9-'Venue Depth'!C13)/('Venue Depth'!D13-'Venue Depth'!C13),IF(C9&lt;='Venue Depth'!E13,0.005+(0.01-0.005)*(C9-'Venue Depth'!D13)/('Venue Depth'!E13-'Venue Depth'!D13),0.01+(Assumptions!B10*0.01)*((C9-'Venue Depth'!E13)/'Venue Depth'!E13))))))</f>
      </c>
      <c r="F9" s="4">
        <f>E9*10000</f>
      </c>
      <c r="G9" s="2">
        <f>C9*E9</f>
      </c>
      <c r="H9" s="4">
        <f>IF(G9=0,0,D9/G9)</f>
      </c>
      <c r="I9" s="2">
        <f>MAX(C9-'Venue Depth'!E13,0)</f>
      </c>
      <c r="J9" s="2">
        <f>MIN(D9,I9)</f>
      </c>
      <c r="K9" s="2">
        <f>MAX(I9-J9,0)</f>
      </c>
      <c r="L9">
        <f>IF(AND(H9&gt;=1,K9=0),"Fast-executable","Constrained")</f>
      </c>
    </row>
    <row r="10">
      <c r="A10" t="inlineStr">
        <is>
          <t>Stress edge</t>
        </is>
      </c>
      <c r="B10" s="2">
        <v>250000000</v>
      </c>
      <c r="C10" s="2">
        <f>B10*Assumptions!B5</f>
      </c>
      <c r="D10" s="2">
        <f>B10*Assumptions!B6</f>
      </c>
      <c r="E10" s="3">
        <f>IF(C10&lt;=0,0,IF(C10&lt;='Venue Depth'!B13,0.001*C10/'Venue Depth'!B13,IF(C10&lt;='Venue Depth'!C13,0.001+(0.0025-0.001)*(C10-'Venue Depth'!B13)/('Venue Depth'!C13-'Venue Depth'!B13),IF(C10&lt;='Venue Depth'!D13,0.0025+(0.005-0.0025)*(C10-'Venue Depth'!C13)/('Venue Depth'!D13-'Venue Depth'!C13),IF(C10&lt;='Venue Depth'!E13,0.005+(0.01-0.005)*(C10-'Venue Depth'!D13)/('Venue Depth'!E13-'Venue Depth'!D13),0.01+(Assumptions!B10*0.01)*((C10-'Venue Depth'!E13)/'Venue Depth'!E13))))))</f>
      </c>
      <c r="F10" s="4">
        <f>E10*10000</f>
      </c>
      <c r="G10" s="2">
        <f>C10*E10</f>
      </c>
      <c r="H10" s="4">
        <f>IF(G10=0,0,D10/G10)</f>
      </c>
      <c r="I10" s="2">
        <f>MAX(C10-'Venue Depth'!E13,0)</f>
      </c>
      <c r="J10" s="2">
        <f>MIN(D10,I10)</f>
      </c>
      <c r="K10" s="2">
        <f>MAX(I10-J10,0)</f>
      </c>
      <c r="L10">
        <f>IF(AND(H10&gt;=1,K10=0),"Fast-executable","Constrained")</f>
      </c>
    </row>
    <row r="11">
      <c r="A11" t="inlineStr">
        <is>
          <t>Large</t>
        </is>
      </c>
      <c r="B11" s="2">
        <v>500000000</v>
      </c>
      <c r="C11" s="2">
        <f>B11*Assumptions!B5</f>
      </c>
      <c r="D11" s="2">
        <f>B11*Assumptions!B6</f>
      </c>
      <c r="E11" s="3">
        <f>IF(C11&lt;=0,0,IF(C11&lt;='Venue Depth'!B13,0.001*C11/'Venue Depth'!B13,IF(C11&lt;='Venue Depth'!C13,0.001+(0.0025-0.001)*(C11-'Venue Depth'!B13)/('Venue Depth'!C13-'Venue Depth'!B13),IF(C11&lt;='Venue Depth'!D13,0.0025+(0.005-0.0025)*(C11-'Venue Depth'!C13)/('Venue Depth'!D13-'Venue Depth'!C13),IF(C11&lt;='Venue Depth'!E13,0.005+(0.01-0.005)*(C11-'Venue Depth'!D13)/('Venue Depth'!E13-'Venue Depth'!D13),0.01+(Assumptions!B10*0.01)*((C11-'Venue Depth'!E13)/'Venue Depth'!E13))))))</f>
      </c>
      <c r="F11" s="4">
        <f>E11*10000</f>
      </c>
      <c r="G11" s="2">
        <f>C11*E11</f>
      </c>
      <c r="H11" s="4">
        <f>IF(G11=0,0,D11/G11)</f>
      </c>
      <c r="I11" s="2">
        <f>MAX(C11-'Venue Depth'!E13,0)</f>
      </c>
      <c r="J11" s="2">
        <f>MIN(D11,I11)</f>
      </c>
      <c r="K11" s="2">
        <f>MAX(I11-J11,0)</f>
      </c>
      <c r="L11">
        <f>IF(AND(H11&gt;=1,K11=0),"Fast-executable","Constrained")</f>
      </c>
    </row>
    <row r="12">
      <c r="A12" t="inlineStr">
        <is>
          <t>Very large</t>
        </is>
      </c>
      <c r="B12" s="2">
        <v>1000000000</v>
      </c>
      <c r="C12" s="2">
        <f>B12*Assumptions!B5</f>
      </c>
      <c r="D12" s="2">
        <f>B12*Assumptions!B6</f>
      </c>
      <c r="E12" s="3">
        <f>IF(C12&lt;=0,0,IF(C12&lt;='Venue Depth'!B13,0.001*C12/'Venue Depth'!B13,IF(C12&lt;='Venue Depth'!C13,0.001+(0.0025-0.001)*(C12-'Venue Depth'!B13)/('Venue Depth'!C13-'Venue Depth'!B13),IF(C12&lt;='Venue Depth'!D13,0.0025+(0.005-0.0025)*(C12-'Venue Depth'!C13)/('Venue Depth'!D13-'Venue Depth'!C13),IF(C12&lt;='Venue Depth'!E13,0.005+(0.01-0.005)*(C12-'Venue Depth'!D13)/('Venue Depth'!E13-'Venue Depth'!D13),0.01+(Assumptions!B10*0.01)*((C12-'Venue Depth'!E13)/'Venue Depth'!E13))))))</f>
      </c>
      <c r="F12" s="4">
        <f>E12*10000</f>
      </c>
      <c r="G12" s="2">
        <f>C12*E12</f>
      </c>
      <c r="H12" s="4">
        <f>IF(G12=0,0,D12/G12)</f>
      </c>
      <c r="I12" s="2">
        <f>MAX(C12-'Venue Depth'!E13,0)</f>
      </c>
      <c r="J12" s="2">
        <f>MIN(D12,I12)</f>
      </c>
      <c r="K12" s="2">
        <f>MAX(I12-J12,0)</f>
      </c>
      <c r="L12">
        <f>IF(AND(H12&gt;=1,K12=0),"Fast-executable","Constrained")</f>
      </c>
    </row>
    <row r="13"/>
    <row r="14">
      <c r="A14" t="inlineStr" s="1">
        <is>
          <t>Reading the table</t>
        </is>
      </c>
    </row>
    <row r="15">
      <c r="A15" t="inlineStr">
        <is>
          <t>Fast-executable means the modeled slippage cost fits inside the 3% pool and any residual beyond 100 bps depth can be warehoused by that same pool.</t>
        </is>
      </c>
    </row>
    <row r="16">
      <c r="A16" t="inlineStr">
        <is>
          <t>Constrained means the design would need slower execution, deeper external liquidity, derivatives hedging, or a larger dedicated capital pool.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2026-04-05T18:05:06Z</dcterms:created>
  <dcterms:modified xsi:type="dcterms:W3CDTF">2026-04-05T18:05:06Z</dcterms:modified>
</cp:coreProperties>
</file>